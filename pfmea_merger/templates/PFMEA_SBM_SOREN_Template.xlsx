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C:\Users\sargoli.h\Documents\GitHub\Excel_APQP\pfmea_merger\templates\"/>
    </mc:Choice>
  </mc:AlternateContent>
  <xr:revisionPtr revIDLastSave="0" documentId="13_ncr:1_{D33F885D-2127-4EAA-BC82-1FF3282CF5A8}" xr6:coauthVersionLast="47" xr6:coauthVersionMax="47" xr10:uidLastSave="{00000000-0000-0000-0000-000000000000}"/>
  <bookViews>
    <workbookView xWindow="-120" yWindow="-120" windowWidth="29040" windowHeight="15840" xr2:uid="{00000000-000D-0000-FFFF-FFFF00000000}"/>
  </bookViews>
  <sheets>
    <sheet name="PFMEA" sheetId="1" r:id="rId1"/>
    <sheet name="History  " sheetId="2" r:id="rId2"/>
  </sheets>
  <definedNames>
    <definedName name="_xlnm._FilterDatabase" localSheetId="0" hidden="1">PFMEA!$A$2:$V$76</definedName>
    <definedName name="OLE_LINK170" localSheetId="0">PFMEA!#REF!</definedName>
    <definedName name="OLE_LINK174" localSheetId="0">PFMEA!#REF!</definedName>
    <definedName name="OLE_LINK176" localSheetId="0">PFMEA!#REF!</definedName>
    <definedName name="OLE_LINK186" localSheetId="0">PFMEA!#REF!</definedName>
    <definedName name="OLE_LINK192" localSheetId="0">PFMEA!#REF!</definedName>
    <definedName name="OLE_LINK194" localSheetId="0">PFMEA!#REF!</definedName>
    <definedName name="OLE_LINK196" localSheetId="0">PFMEA!#REF!</definedName>
    <definedName name="OLE_LINK79" localSheetId="0">PFMEA!#REF!</definedName>
    <definedName name="_xlnm.Print_Area" localSheetId="0">PFMEA!$A$9:$V$76</definedName>
    <definedName name="_xlnm.Print_Titles" localSheetId="0">PFMEA!#REF!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2" i="1" l="1" a="1"/>
  <c r="AQ2" i="1" s="1"/>
  <c r="M69" i="1"/>
  <c r="I69" i="1"/>
  <c r="F69" i="1" a="1"/>
  <c r="F69" i="1" s="1"/>
  <c r="M70" i="1"/>
  <c r="I70" i="1"/>
  <c r="F70" i="1" a="1"/>
  <c r="F70" i="1" s="1"/>
  <c r="F68" i="1" l="1" a="1"/>
  <c r="F68" i="1" s="1"/>
  <c r="F67" i="1" a="1"/>
  <c r="F67" i="1" s="1"/>
  <c r="F66" i="1" a="1"/>
  <c r="F66" i="1" s="1"/>
  <c r="F65" i="1" a="1"/>
  <c r="F65" i="1" s="1"/>
  <c r="F64" i="1" a="1"/>
  <c r="F64" i="1" s="1"/>
  <c r="F61" i="1" a="1"/>
  <c r="F61" i="1" s="1"/>
  <c r="F59" i="1" a="1"/>
  <c r="F59" i="1" s="1"/>
  <c r="F58" i="1" a="1"/>
  <c r="F58" i="1" s="1"/>
  <c r="F57" i="1" a="1"/>
  <c r="F57" i="1" s="1"/>
  <c r="F56" i="1" a="1"/>
  <c r="F56" i="1" s="1"/>
  <c r="F55" i="1" a="1"/>
  <c r="F55" i="1" s="1"/>
  <c r="F54" i="1" a="1"/>
  <c r="F54" i="1" s="1"/>
  <c r="F53" i="1" a="1"/>
  <c r="F53" i="1" s="1"/>
  <c r="F52" i="1" a="1"/>
  <c r="F52" i="1" s="1"/>
  <c r="F51" i="1" a="1"/>
  <c r="F51" i="1" s="1"/>
  <c r="F50" i="1" a="1"/>
  <c r="F50" i="1" s="1"/>
  <c r="F49" i="1" a="1"/>
  <c r="F49" i="1" s="1"/>
  <c r="F48" i="1" a="1"/>
  <c r="F48" i="1" s="1"/>
  <c r="F47" i="1" a="1"/>
  <c r="F47" i="1" s="1"/>
  <c r="F46" i="1" a="1"/>
  <c r="F46" i="1" s="1"/>
  <c r="F45" i="1" a="1"/>
  <c r="F45" i="1" s="1"/>
  <c r="F44" i="1" a="1"/>
  <c r="F44" i="1" s="1"/>
  <c r="F43" i="1" a="1"/>
  <c r="F43" i="1" s="1"/>
  <c r="F42" i="1" a="1"/>
  <c r="F42" i="1" s="1"/>
  <c r="F41" i="1" a="1"/>
  <c r="F41" i="1" s="1"/>
  <c r="F40" i="1" a="1"/>
  <c r="F40" i="1" s="1"/>
  <c r="F39" i="1" a="1"/>
  <c r="F39" i="1" s="1"/>
  <c r="F38" i="1" a="1"/>
  <c r="F38" i="1" s="1"/>
  <c r="F37" i="1" a="1"/>
  <c r="F37" i="1" s="1"/>
  <c r="F36" i="1" a="1"/>
  <c r="F36" i="1" s="1"/>
  <c r="F35" i="1" a="1"/>
  <c r="F35" i="1" s="1"/>
  <c r="F34" i="1" a="1"/>
  <c r="F34" i="1" s="1"/>
  <c r="F33" i="1" a="1"/>
  <c r="F33" i="1" s="1"/>
  <c r="F32" i="1" a="1"/>
  <c r="F32" i="1" s="1"/>
  <c r="F31" i="1" a="1"/>
  <c r="F31" i="1" s="1"/>
  <c r="F30" i="1" a="1"/>
  <c r="F30" i="1" s="1"/>
  <c r="F29" i="1" a="1"/>
  <c r="F29" i="1" s="1"/>
  <c r="F28" i="1" a="1"/>
  <c r="F28" i="1" s="1"/>
  <c r="F27" i="1" a="1"/>
  <c r="F27" i="1" s="1"/>
  <c r="F26" i="1" a="1"/>
  <c r="F26" i="1" s="1"/>
  <c r="F25" i="1" a="1"/>
  <c r="F25" i="1" s="1"/>
  <c r="F24" i="1" a="1"/>
  <c r="F24" i="1" s="1"/>
  <c r="F23" i="1" a="1"/>
  <c r="F23" i="1" s="1"/>
  <c r="F22" i="1" a="1"/>
  <c r="F22" i="1" s="1"/>
  <c r="F21" i="1" a="1"/>
  <c r="F21" i="1" s="1"/>
  <c r="F20" i="1" a="1"/>
  <c r="F20" i="1" s="1"/>
  <c r="F19" i="1" a="1"/>
  <c r="F19" i="1" s="1"/>
  <c r="F18" i="1" a="1"/>
  <c r="F18" i="1" s="1"/>
  <c r="F17" i="1" a="1"/>
  <c r="F17" i="1" s="1"/>
  <c r="F16" i="1" a="1"/>
  <c r="F16" i="1" s="1"/>
  <c r="F15" i="1" a="1"/>
  <c r="F15" i="1" s="1"/>
  <c r="F14" i="1" a="1"/>
  <c r="F14" i="1" s="1"/>
  <c r="F13" i="1" a="1"/>
  <c r="F13" i="1" s="1"/>
  <c r="F12" i="1" a="1"/>
  <c r="F12" i="1" s="1"/>
  <c r="F11" i="1" a="1"/>
  <c r="F11" i="1" s="1"/>
  <c r="F10" i="1" a="1"/>
  <c r="F10" i="1" s="1"/>
  <c r="M66" i="1" l="1"/>
  <c r="I66" i="1"/>
  <c r="M68" i="1"/>
  <c r="I68" i="1"/>
  <c r="M67" i="1"/>
  <c r="I67" i="1"/>
  <c r="M62" i="1" l="1"/>
  <c r="I62" i="1"/>
  <c r="M61" i="1"/>
  <c r="I61" i="1"/>
  <c r="M60" i="1"/>
  <c r="I60" i="1"/>
  <c r="M59" i="1"/>
  <c r="I59" i="1"/>
  <c r="V58" i="1"/>
  <c r="U58" i="1"/>
  <c r="M58" i="1"/>
  <c r="I58" i="1"/>
  <c r="M57" i="1"/>
  <c r="I57" i="1"/>
  <c r="M56" i="1"/>
  <c r="I56" i="1"/>
  <c r="M55" i="1"/>
  <c r="I55" i="1"/>
  <c r="M54" i="1"/>
  <c r="I54" i="1"/>
  <c r="M53" i="1"/>
  <c r="I53" i="1"/>
  <c r="M52" i="1"/>
  <c r="I52" i="1"/>
  <c r="M51" i="1"/>
  <c r="I51" i="1"/>
  <c r="M50" i="1"/>
  <c r="I50" i="1"/>
  <c r="M49" i="1"/>
  <c r="I49" i="1"/>
  <c r="M48" i="1"/>
  <c r="I48" i="1"/>
  <c r="M47" i="1"/>
  <c r="I47" i="1"/>
  <c r="M46" i="1"/>
  <c r="I46" i="1"/>
  <c r="M45" i="1"/>
  <c r="I45" i="1"/>
  <c r="M44" i="1"/>
  <c r="I44" i="1"/>
  <c r="M43" i="1"/>
  <c r="I43" i="1"/>
  <c r="M42" i="1"/>
  <c r="I42" i="1"/>
  <c r="M41" i="1"/>
  <c r="I41" i="1"/>
  <c r="M40" i="1"/>
  <c r="I40" i="1"/>
  <c r="M39" i="1"/>
  <c r="I39" i="1"/>
  <c r="M38" i="1"/>
  <c r="I38" i="1"/>
  <c r="M37" i="1"/>
  <c r="I37" i="1"/>
  <c r="M36" i="1"/>
  <c r="I36" i="1"/>
  <c r="M35" i="1"/>
  <c r="I35" i="1"/>
  <c r="M34" i="1"/>
  <c r="I34" i="1"/>
  <c r="M33" i="1"/>
  <c r="I33" i="1"/>
  <c r="M32" i="1"/>
  <c r="I32" i="1"/>
  <c r="M31" i="1"/>
  <c r="I31" i="1"/>
  <c r="V30" i="1"/>
  <c r="U30" i="1"/>
  <c r="M30" i="1"/>
  <c r="I30" i="1"/>
  <c r="V29" i="1"/>
  <c r="U29" i="1"/>
  <c r="M29" i="1"/>
  <c r="I29" i="1"/>
  <c r="M28" i="1"/>
  <c r="I28" i="1"/>
  <c r="M27" i="1"/>
  <c r="I27" i="1"/>
  <c r="V26" i="1"/>
  <c r="U26" i="1"/>
  <c r="M26" i="1"/>
  <c r="I26" i="1"/>
  <c r="V25" i="1"/>
  <c r="U25" i="1"/>
  <c r="M25" i="1"/>
  <c r="I25" i="1"/>
  <c r="V24" i="1"/>
  <c r="U24" i="1"/>
  <c r="M24" i="1"/>
  <c r="I24" i="1"/>
  <c r="V23" i="1"/>
  <c r="U23" i="1"/>
  <c r="M23" i="1"/>
  <c r="I23" i="1"/>
  <c r="V22" i="1"/>
  <c r="U22" i="1"/>
  <c r="M22" i="1"/>
  <c r="I22" i="1"/>
  <c r="M21" i="1"/>
  <c r="I21" i="1"/>
  <c r="M20" i="1"/>
  <c r="I20" i="1"/>
  <c r="V19" i="1"/>
  <c r="U19" i="1"/>
  <c r="M19" i="1"/>
  <c r="I19" i="1"/>
  <c r="M18" i="1"/>
  <c r="I18" i="1"/>
  <c r="V17" i="1"/>
  <c r="U17" i="1"/>
  <c r="M17" i="1"/>
  <c r="I17" i="1"/>
  <c r="V16" i="1"/>
  <c r="U16" i="1"/>
  <c r="M16" i="1"/>
  <c r="I16" i="1"/>
  <c r="V15" i="1"/>
  <c r="U15" i="1"/>
  <c r="M15" i="1"/>
  <c r="I15" i="1"/>
  <c r="V14" i="1"/>
  <c r="U14" i="1"/>
  <c r="M14" i="1"/>
  <c r="I14" i="1"/>
  <c r="V13" i="1"/>
  <c r="U13" i="1"/>
  <c r="M13" i="1"/>
  <c r="I13" i="1"/>
  <c r="M12" i="1"/>
  <c r="I12" i="1"/>
  <c r="M11" i="1"/>
  <c r="I11" i="1"/>
  <c r="V10" i="1"/>
  <c r="U10" i="1"/>
  <c r="M10" i="1"/>
  <c r="I10" i="1"/>
  <c r="I65" i="1" l="1"/>
  <c r="I64" i="1"/>
  <c r="M64" i="1" l="1"/>
  <c r="M6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Feriyal Fekri</author>
  </authors>
  <commentList>
    <comment ref="H15" authorId="0" shapeId="0" xr:uid="{363C3A20-1CA5-4057-A074-735BA26454D5}">
      <text>
        <r>
          <rPr>
            <b/>
            <sz val="9"/>
            <color indexed="81"/>
            <rFont val="Tahoma"/>
            <family val="2"/>
          </rPr>
          <t>Feriyal Fekri:</t>
        </r>
        <r>
          <rPr>
            <sz val="9"/>
            <color indexed="81"/>
            <rFont val="Tahoma"/>
            <family val="2"/>
          </rPr>
          <t xml:space="preserve">
2 TO 3 
213370</t>
        </r>
      </text>
    </comment>
    <comment ref="H22" authorId="0" shapeId="0" xr:uid="{77B092FB-17A3-4835-B08A-8E4AD0422712}">
      <text>
        <r>
          <rPr>
            <b/>
            <sz val="9"/>
            <color indexed="81"/>
            <rFont val="Tahoma"/>
            <family val="2"/>
          </rPr>
          <t>Feriyal Fekri:</t>
        </r>
        <r>
          <rPr>
            <sz val="9"/>
            <color indexed="81"/>
            <rFont val="Tahoma"/>
            <family val="2"/>
          </rPr>
          <t xml:space="preserve">
7 to 8
اخطارهای کیفی 221357-222129</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<sst xmlns="http://schemas.openxmlformats.org/spreadsheetml/2006/main" count="461" uniqueCount="364">
  <si>
    <t>تصویب کننده
مدیر طراحی و مهندسی</t>
  </si>
  <si>
    <t>تایید کننده
مدیر کنترل کیفیت</t>
  </si>
  <si>
    <t>کد
  OPC</t>
  </si>
  <si>
    <t xml:space="preserve">شدت </t>
  </si>
  <si>
    <t xml:space="preserve">علل بالقوه خرابی </t>
  </si>
  <si>
    <t xml:space="preserve">وقوع </t>
  </si>
  <si>
    <t>کنترل</t>
  </si>
  <si>
    <t xml:space="preserve">پیشگیرانه </t>
  </si>
  <si>
    <t xml:space="preserve">جاری </t>
  </si>
  <si>
    <t xml:space="preserve">تشخیص </t>
  </si>
  <si>
    <t xml:space="preserve">اقدام اصلاحی </t>
  </si>
  <si>
    <t xml:space="preserve">حالت 
خرابی بالقوه </t>
  </si>
  <si>
    <t>تشخیص</t>
  </si>
  <si>
    <t>وان قلع</t>
  </si>
  <si>
    <t>عدم عملکرد در طولانی مدت بر اثر آسیب دیدگی قطعات حساس</t>
  </si>
  <si>
    <t>عدم عملکرد در اثر آسیب دیدگی قطعات حساس در ایستگاه نهائی</t>
  </si>
  <si>
    <t>دوباره کاری در ایستگاه کنترل نهایی</t>
  </si>
  <si>
    <t>خود کنترلی توسط اپراتور ، کنترل ظاهری
100% درایستگاه کنترل نهایی و انجام SPC</t>
  </si>
  <si>
    <t>قطعه گذاری دستی</t>
  </si>
  <si>
    <t xml:space="preserve"> کنترل چشمي 100% درایستگاه کنترل چشمی و انجام SPC</t>
  </si>
  <si>
    <t>RPN</t>
  </si>
  <si>
    <t>A150</t>
  </si>
  <si>
    <t>شرح عملیات</t>
  </si>
  <si>
    <t>اثرات بالقوه خرابی</t>
  </si>
  <si>
    <t>A130</t>
  </si>
  <si>
    <t>A125</t>
  </si>
  <si>
    <t>عدم مونتاژ کانکتور مقابل (دسته سیم)</t>
  </si>
  <si>
    <t>عدم دقت اپراتور در زمان مونتاژ کانکتور</t>
  </si>
  <si>
    <t>A135</t>
  </si>
  <si>
    <t>A140</t>
  </si>
  <si>
    <t>2.آسیب دیدگی پد (جدا شدن پد ،اکسید شدن پد)</t>
  </si>
  <si>
    <t>عدم عملکرد و ضایعات PCB</t>
  </si>
  <si>
    <t>عدم دقت اپراتور در جداسازی برد</t>
  </si>
  <si>
    <t>1.عدم صحت برنامه دهي  یا عدم پروگرام</t>
  </si>
  <si>
    <t xml:space="preserve">خطاي اپراتور
به اشتراک گذاری نرم افزار تائید نشده در سرور
</t>
  </si>
  <si>
    <t xml:space="preserve"> کنترل 100% با تستر درایستگاه کنترل نهائی </t>
  </si>
  <si>
    <t>2.الکتریسیته ساکن</t>
  </si>
  <si>
    <t>عدم دقت اپراتور در نحوه چیدمان قطعات</t>
  </si>
  <si>
    <t xml:space="preserve">توزيع نسخ : 1- استاندارد و تکنولوژی    2 ـ   توليد     3 ـ كنترل كيفيت       4 ـ مشتري ( در صورت تقاضا )  5-طراحي و مهندسي </t>
  </si>
  <si>
    <t>اقدامات پیشنهادی</t>
  </si>
  <si>
    <t xml:space="preserve">اقدامات انجام شده </t>
  </si>
  <si>
    <t>شماره ویرایش</t>
  </si>
  <si>
    <t>تاریخ ویرایش</t>
  </si>
  <si>
    <t>شرح تغییرات</t>
  </si>
  <si>
    <t>تهیه اولیه</t>
  </si>
  <si>
    <t xml:space="preserve">عدم عملکرد صحیح  و دوباره کاری </t>
  </si>
  <si>
    <t xml:space="preserve">کنترل چشمی </t>
  </si>
  <si>
    <t>خطای اپراتور - عدم استفاده از دستبند ضد الکتریسیته ساکن</t>
  </si>
  <si>
    <t>وجود ایراد در سیستم ارت و تجهیزات تخلیه الکتریسیته ساکن</t>
  </si>
  <si>
    <t>A145</t>
  </si>
  <si>
    <t>عدم عملکرد  در ایستگاه کنترل نهائی</t>
  </si>
  <si>
    <t>A165</t>
  </si>
  <si>
    <t>آسیب دیدگی قطعه در زمان چیدمان و جابجایی و مغایرت در تعداد قطعات نارضایتی مشتری</t>
  </si>
  <si>
    <t>F10</t>
  </si>
  <si>
    <t>خطای اپراتور در عدم تنظيم صحيح دستگاه 
(فشار بیش از حد به قطعه ، عدم اتصال به سطح برد ، عدم جایگذاری صحیح المانها روی موقعیت مشخص شده در سطح برد)</t>
  </si>
  <si>
    <t xml:space="preserve">ضايعات قطعه       </t>
  </si>
  <si>
    <t>عدم تنظيم صحيح دستگاه ، خطای اپراتور</t>
  </si>
  <si>
    <t>عدم نصب در محل مناسب</t>
  </si>
  <si>
    <t>دوباره کاری در ایستگاه ها بعدی و عدم امکان ثبت اطلاعات</t>
  </si>
  <si>
    <t>خود کنترلی توسط اپراتور .کنترل چشمی 100%درایستگاه کنترل چشمی</t>
  </si>
  <si>
    <t>SMD</t>
  </si>
  <si>
    <t xml:space="preserve">عدم دقت اپراتوربه قطعات مجاور محل شارژ
</t>
  </si>
  <si>
    <t>خطای اپراتور درفیکس نشدن صحیح قاب</t>
  </si>
  <si>
    <t>خطای اپراتوردر هنگام نصب لیبل در محل تعریف شده</t>
  </si>
  <si>
    <t>عدم رعایت اپراتور در تمیز کردن میز کار (وجود گلوله های قلع و پایه های اضافه قطعات THT)</t>
  </si>
  <si>
    <t>چیدمان نامناسب pcb بر روی میز کاردر مجاورت محل لحیم کاری دستی</t>
  </si>
  <si>
    <t>ارجاع به PFMEA ML-SMD1/2 (به کد : SQA-SMD-12-002 ) و یا PFMEA ML-SMD2/2 (به کد : SQA-SMD-12-004  )</t>
  </si>
  <si>
    <t>A123</t>
  </si>
  <si>
    <t>جداسازی برد</t>
  </si>
  <si>
    <t>قابگذاری</t>
  </si>
  <si>
    <t>L10</t>
  </si>
  <si>
    <t>A185</t>
  </si>
  <si>
    <t xml:space="preserve">
آماده سازی کارتن 
</t>
  </si>
  <si>
    <t>بسته بندی 
(چیدمان در کارتن)</t>
  </si>
  <si>
    <t>A190</t>
  </si>
  <si>
    <t xml:space="preserve">عدم دقت اپراتور در زمان الصاق لیبل </t>
  </si>
  <si>
    <t>اشکال در ردیابی محصول</t>
  </si>
  <si>
    <t>چاپ اشتباه</t>
  </si>
  <si>
    <t>امکان اشتباه در چاپ لیبل وجود ندارد.
ضد خطا می باشد.</t>
  </si>
  <si>
    <t xml:space="preserve">مسوول اقدام </t>
  </si>
  <si>
    <t>تاریخ اقدام</t>
  </si>
  <si>
    <t>کلاس</t>
  </si>
  <si>
    <t xml:space="preserve">علامت                          نشاندهنده پارامتر ایمنی و علامت                        نشاندهنده ی پارامتر قانونی می باشد.             </t>
  </si>
  <si>
    <r>
      <t>کد فرم :</t>
    </r>
    <r>
      <rPr>
        <sz val="14"/>
        <color theme="1"/>
        <rFont val="Times New Roman"/>
        <family val="1"/>
      </rPr>
      <t>DE-AP-19-A</t>
    </r>
  </si>
  <si>
    <t>A180</t>
  </si>
  <si>
    <t>SO</t>
  </si>
  <si>
    <t>ICT</t>
  </si>
  <si>
    <t>خطای اپراتور در حین مونتاژ و
حین عبور از وان قلع</t>
  </si>
  <si>
    <r>
      <t>3.کجی ودفرمگی پین(رله)</t>
    </r>
    <r>
      <rPr>
        <sz val="14"/>
        <rFont val="Calibri"/>
        <family val="2"/>
        <scheme val="minor"/>
      </rPr>
      <t xml:space="preserve"> در اثر ضربه یا سقوط از روی میز کار</t>
    </r>
  </si>
  <si>
    <t>عدم عملکرد مناسب فانکش های مربوط به رله ها(شیشه بالابر و قفل مرکزی)</t>
  </si>
  <si>
    <t xml:space="preserve"> کنترل چشمي 100%  -بازرسی 100% در ایستگاه ICT و کنترل 100% با تستر در ایستگاه کنترل نهایی و انجام SPC</t>
  </si>
  <si>
    <t>عدم تنظيم صحيح دستگاه
(عدم پيش گرمايش مناسب ) و پاشش flux (باقي ماندن مواد خورنده flux بر روي برد)</t>
  </si>
  <si>
    <t>خود کنترلي توسط اپراتور وکنترل چشمي 100% در ایستگاه کنترل چشمی،بازرسی 100% در ایستگاه ICT - کنترل 100% با تستر در ایستگاه کنترل عملکرد وانجام SPC</t>
  </si>
  <si>
    <t>عملکرد  ناقص در تستر کنترل نهایی یا خودرو</t>
  </si>
  <si>
    <t>انجام شد</t>
  </si>
  <si>
    <t>عملکرد ناقص در ایستگاه کنترل نهایی یا خودرو</t>
  </si>
  <si>
    <t>A170</t>
  </si>
  <si>
    <t>کنترل عملکرد و چاپ و الصاق لیبل بارکد</t>
  </si>
  <si>
    <t>2-چاپ اشتباه لیبل</t>
  </si>
  <si>
    <t>ضد خطاسازی دستگاه چاپ لیبل ردیابی</t>
  </si>
  <si>
    <t>3- لیبل ناخوانا</t>
  </si>
  <si>
    <t>استفاده از ريبون نامنطبق(ریبون وکس)</t>
  </si>
  <si>
    <t>4-چاپ لیبل تکراری</t>
  </si>
  <si>
    <t>پاک شدن دیتا بیس یکی از تسترهای کنترل نهایی و فراخوانی شماره سریال پیش فرض مطابق تستر A که منجر به پرینت بارکد تکراری مطابق تستر شماره A گردیده (تستر غیر از A بارکد متعلق به تستر A را پرینت گرفته است.)</t>
  </si>
  <si>
    <t>عدم ردیابی محصول در صورت بروز مشکل</t>
  </si>
  <si>
    <t xml:space="preserve">خارج از رنج شدن پارامترهای Set upدستگاه حک لیزر  </t>
  </si>
  <si>
    <t>بی دقتی اپراتور در جانمایی صحیح قطعه</t>
  </si>
  <si>
    <t>1.ضایعات قطعه در هنگام کوتاهی پایه
2.انجام دوباره کاری در خصوص کوتاه کردن پایه های بلند
3.در زمان کوتاه بودن پایه، اتصال کامل با پد نداشته که باعث اختلال در عملکرد یا عدم عملکرد در خودرو می گردد
4. امکان ریزش قطعات در تست ارتعاش
5. امکان ریزش وریستور در هنگام عبور از وان قلع</t>
  </si>
  <si>
    <t>6.مونتاژ بازر در جهت اشتباه</t>
  </si>
  <si>
    <t>آسیب رسیدن به قطعه بازر در طولانی مدت</t>
  </si>
  <si>
    <t>خطای اپراتور حین مونتاژ</t>
  </si>
  <si>
    <t>7. مونتاژ وریستور در محل اشتباه</t>
  </si>
  <si>
    <t>در هنگام ایجاد نویزهای احتمالی از مدار حفاظت نمی کند و باعث آسیب رسیدن به برد و آسیب به کنتاکت رله در طولانی مدت می گردد</t>
  </si>
  <si>
    <t xml:space="preserve">خود کنترلی توسط اپراتور  .کنترل چشمی 100% در ایستگاه کنترل چشمی-بازرسی 100% در ایستگاه ICT و کنترل 100% با تستر درایستگاه کنترل نهائی  و انجام SPC
</t>
  </si>
  <si>
    <t>عدم تنظيم صحيح دستگاه
1.نامناسب بودن مقدار پاشش فلکس
2.تمیز نکردن ناخالصی های ناشی از فرایند وان قلع در زمان مناسب
3.بالابودن میزان فوران قلع
4.تمیز نکردن قلع اضافه بر روی فیکسچرها</t>
  </si>
  <si>
    <t>عملکرد ناقص در تستر کنترل نهایی یا خودرو</t>
  </si>
  <si>
    <t>1403/05/03
1403/08/30</t>
  </si>
  <si>
    <t>5.نبود قلع روی یک یا چند پایه قطعات THT</t>
  </si>
  <si>
    <t xml:space="preserve">خود کنترلي توسط اپراتور وکنترل چشمي 100% در ایستگاه کنترل چشمی </t>
  </si>
  <si>
    <t>خطای اپراتور
فرم دهی نامناسب قطعات</t>
  </si>
  <si>
    <t>عملکرد  ناقص در تستر کنترل نهایی(فیکسچر به صورت پین فنری می باشد)- چفت نشدن قاب و دوباره کاری
احتمال ضایعات شدن برد</t>
  </si>
  <si>
    <t xml:space="preserve">لرزش کانوایر دستگاه وان قلع </t>
  </si>
  <si>
    <t>خود کنترلي توسط اپراتور وکنترل چشمي 100% در ایستگاه کنترل چشمی،کنترل 100% با تستر در ایستگاه کنترل عملکرد وانجام SPC</t>
  </si>
  <si>
    <t>1403/11/30</t>
  </si>
  <si>
    <t>دوباره کاری
عدم تشخیص وجود پایه قطعه THT و اتصال به پد</t>
  </si>
  <si>
    <t>عدم تنظيم صحيح دستگاه(بالا بودن ارتفاع فوران
Pre HEATING نامناسب فرايند Wave soldering.)</t>
  </si>
  <si>
    <t>خود کنترلي توسط اپراتور وکنترل چشمي 100% در ایستگاه کنترل چشمی</t>
  </si>
  <si>
    <t>5.الکتریسیته ساکن</t>
  </si>
  <si>
    <t>بازرسی 100% در ایستگاه ICT-کنترل 100% با تستر درایستگاه کنترل نهائی</t>
  </si>
  <si>
    <t>1-آسیب دیدن برد(مسیر و المانها)</t>
  </si>
  <si>
    <t xml:space="preserve">کنترل چشمی توسط اپراتور </t>
  </si>
  <si>
    <t>1.حک در موقعیت اشتباه</t>
  </si>
  <si>
    <t>2.حک ناقص</t>
  </si>
  <si>
    <t>عدم دقت اپراتور هنگام مونتاژ SBM بر روی براکت</t>
  </si>
  <si>
    <t>وجود بارکد تکراری</t>
  </si>
  <si>
    <t>عدم تفکیک بارکد تکراری در نرم افزار PACKAGING</t>
  </si>
  <si>
    <t xml:space="preserve">      شرکت سازه پویش</t>
  </si>
  <si>
    <t>دستورالعمل تجزیه و تحليل عوامل شکست و آثار آن (FMEA)</t>
  </si>
  <si>
    <t>فرم تحليل حالات خرابي بالقوه (FMEA)</t>
  </si>
  <si>
    <t>صفحه :         از</t>
  </si>
  <si>
    <t>نام تامین کننده: سازه پویش</t>
  </si>
  <si>
    <t>کد تامین کننده:   4126</t>
  </si>
  <si>
    <t>نام تامین کننده اصلی:  ساپکو</t>
  </si>
  <si>
    <t>نام فصل:</t>
  </si>
  <si>
    <t>شماره فصل:</t>
  </si>
  <si>
    <t>تیم CFT
نت</t>
  </si>
  <si>
    <t>عدم چاپ حک لیزر
(نصب در محل حک لیزر)</t>
  </si>
  <si>
    <t>کم شدن صدای بازر
(الصاق در محل صدای خروجی صدای بازر)</t>
  </si>
  <si>
    <t>کیفیت</t>
  </si>
  <si>
    <t>بررسی جهت طراحی AOI دو بعدی جهت وجود قطعات قبل از وان قلع</t>
  </si>
  <si>
    <t xml:space="preserve"> کنترل چشمي 100% درایستگاه کنترل چشمی و انجام SPC
بازرسی 100% در ایستگاه ICT
کنترل 100% در ایستگاه کنترل نهایی</t>
  </si>
  <si>
    <t>مهندسی</t>
  </si>
  <si>
    <t>اخذ تائیدیه چاه های ارت -اندازه گیری مقاومت چاه ها - برنامه و چک لیست ESD - بازرسی 100% در ایستگاه ICT-کنترل 100% با تستر درایستگاه کنترل نهائی</t>
  </si>
  <si>
    <t xml:space="preserve">1.کمبود قلع (مخروطی نباشد و پوشش ناقص پد) 
عدم اتصال کامل پایه به پد و قطعی اتصال </t>
  </si>
  <si>
    <t>مناسب نبودن دمای هویه 
بی دقتی اپراتور در زمان شارژ پایه ها</t>
  </si>
  <si>
    <t xml:space="preserve">کنترل چشمي 100% درایستگاه کنترل چشمی- بازرسی 100% در ایستگاه ICT -کنترل 100% با تستر درایستگاه کنترل نهائی </t>
  </si>
  <si>
    <t>مناسب نبودن دمای هویه -خطای اپراتور
(بیش از اندازه نگه داشتن هویه روی پد- روش اصلاح نامناسب قطعاتی که بالاتر از موقعیت صحیح در وان قلع  قرار می گیرند.)</t>
  </si>
  <si>
    <t>3.شیفت و آسیب به قطعات smd  مجاور محل شارژ و در نتیجه جدا شدن از پد(بعلت برخورد نوک هویه)</t>
  </si>
  <si>
    <t xml:space="preserve">کنترل چشمي 100% درایستگاه کنترل چشمی- بازرسی 100% در ایستگاه ICT و انجام SPC-کنترل 100% با تستر درایستگاه کنترل نهائی </t>
  </si>
  <si>
    <t>الکتریسیته ساکن</t>
  </si>
  <si>
    <t>فیکس نشدن قاب 
(چفت نشدن یک یا چتد خار قاب)</t>
  </si>
  <si>
    <t xml:space="preserve">تاریخ بازنگری سند: </t>
  </si>
  <si>
    <t>1-بسته نشدن کامل پیچ</t>
  </si>
  <si>
    <t>نارضایتی مشتری( ایجاد لقی و سر و صدا )</t>
  </si>
  <si>
    <t xml:space="preserve">عملکرد ناقص بر روی تستر کنترل نهایی یا خودرو و دوباره کاری </t>
  </si>
  <si>
    <t xml:space="preserve">عملکرد ناقص بر روی تستر کنترل نهایی یا خودرو </t>
  </si>
  <si>
    <t xml:space="preserve">نام مجموعه: SBM  </t>
  </si>
  <si>
    <t>A160</t>
  </si>
  <si>
    <t>A175</t>
  </si>
  <si>
    <t>فرم دهی</t>
  </si>
  <si>
    <t>حک لیزر کد ردیابی</t>
  </si>
  <si>
    <t>2-قرار نگرفتن  SBM در براکت (در قسمت کلیپ جا نخورده است)</t>
  </si>
  <si>
    <t>از جا در آمدن SBM از براکت
 ایجاد لقی وسروصدای اضافه
نارضایتی مشتری</t>
  </si>
  <si>
    <t>RPM 20% up</t>
  </si>
  <si>
    <t>شماره فنی : YG20240320_(SBR_IK02627780)_(IK02627580)</t>
  </si>
  <si>
    <t>1404/01/31</t>
  </si>
  <si>
    <t>خطای اپراتور - عدم استفاده از دستبند ضد الکتریسیته ساکن و یا دستکش آنتی استاتیک</t>
  </si>
  <si>
    <t>2-برخورد قطعات  (خارن  الکترولیت و ماژول رادیویی و ایجاد خرابی عملكردی برروی ماژول یا خازن )</t>
  </si>
  <si>
    <t>اخذ تائیدیه چاه های ارت -اندازه گیری مقاومت چاه ها - برنامه و چک لیست ESD - بازرسی 100% در ایستگاه ICT-کنترل 100% با تستر درایستگاه کنترل نهائی
انجام SPC</t>
  </si>
  <si>
    <t>تهیه کنندگان : بابایی - یگانه - فکری - سرگلی - کاظمی پور - مسیح زاده - رستمی -  قوامی - خلج - اکسیر - دلیر</t>
  </si>
  <si>
    <t>7.الکتریسیته ساکن</t>
  </si>
  <si>
    <t>کنترل چشمی مضاعف (درایستگاه قطعه گذاری و لحیمکاری دستی  و درایستگاه کنترل چشمی ) و انجام  SPC</t>
  </si>
  <si>
    <t>بررسی جهت ساخت ظرف مخصوص  در ایستگاه فرم دهی
کوتاه شدن ارتفاع ظرف</t>
  </si>
  <si>
    <t>نت-تولید</t>
  </si>
  <si>
    <t>1403/11/25
تاریخ مجدد
1403/12/25</t>
  </si>
  <si>
    <t>دستورالعمل شکل دهی قطعات (THT FORMING)
 (PR-MA-01)
 چک لیست تصدیق تنظیمات و راه اندازی خطوط تولید
 (PO-PR-AF)
 چک لیست بازرسی حین فرآیند (QC-CP01-E)
دستورالعمل SPC (QC-CP-03)
ماتریس مهارت‎های فردی
PO-PR-08-A
دستورالعمل نگهداری و تعمیرات
(PO-PM)
برنامه سرویس و نگه داری نت 
(IS-PO-PM-D)
چک لیست سرویس روزانه   
(PO-PM-F)</t>
  </si>
  <si>
    <t>کنترل چشمی مضاعف (در ایستگاه قطعه گذاری و لحیمکاری دستی  و درایستگاه کنترل چشمی ) و انجام SPC</t>
  </si>
  <si>
    <t>نصب لیبل شناسایی ردیابی</t>
  </si>
  <si>
    <t xml:space="preserve">دستورالعمل قطعه گذاری دستی قطعات THT به شماره
 PR-MA-02 </t>
  </si>
  <si>
    <t>1.مونتاژکانکتور40 پین در محل  اشتباه بر اثر شکستگی یا له شدگی پین راهنما</t>
  </si>
  <si>
    <t>تغییر رنگ کانکتورهای 40 پین در به منظور بالا بردن تشخیص
بررسی جهت پوکایوکه کردن تستر به منظور تشخیص اشتباه کانکتور</t>
  </si>
  <si>
    <t>کیفیت-بازرگانی
نت</t>
  </si>
  <si>
    <t>1403/10/30
تاریخ مجدد
1403/12/30
1403/10/05
تاریخ مجدد
1403/12/30</t>
  </si>
  <si>
    <r>
      <t xml:space="preserve">2.مونتاژ کانکتور40 پین در </t>
    </r>
    <r>
      <rPr>
        <b/>
        <sz val="14"/>
        <rFont val="Calibri"/>
        <family val="2"/>
        <scheme val="minor"/>
      </rPr>
      <t>جهت</t>
    </r>
    <r>
      <rPr>
        <sz val="14"/>
        <rFont val="Calibri"/>
        <family val="2"/>
        <scheme val="minor"/>
      </rPr>
      <t xml:space="preserve">  اشتباه بر اثر شکستگی یا له شدگی  هر دو پین راهنما</t>
    </r>
  </si>
  <si>
    <r>
      <t xml:space="preserve">مونتاژ کانکتور مقابل (دسته سیم) در </t>
    </r>
    <r>
      <rPr>
        <b/>
        <sz val="14"/>
        <rFont val="Calibri"/>
        <family val="2"/>
        <scheme val="minor"/>
      </rPr>
      <t>جهت</t>
    </r>
    <r>
      <rPr>
        <sz val="14"/>
        <rFont val="Calibri"/>
        <family val="2"/>
        <scheme val="minor"/>
      </rPr>
      <t xml:space="preserve"> اشتباه و عملکرد ناقص</t>
    </r>
  </si>
  <si>
    <t>بررسی جهت پوکایوکه کردن تستر به منظور تشخیص جهت کانکتور</t>
  </si>
  <si>
    <t>نت</t>
  </si>
  <si>
    <t>1403/10/05
تاریخ مجدد
1403/12/30</t>
  </si>
  <si>
    <t>عدم دقت اپراتور</t>
  </si>
  <si>
    <t xml:space="preserve">خارج کردن به تعداد کم و اندازه نیاز رله از خشاب </t>
  </si>
  <si>
    <t>تولید-کیفیت</t>
  </si>
  <si>
    <t>1403/12/30</t>
  </si>
  <si>
    <t>4.مونتاژ نادرست(فاصله نامناسب قطعه از PCB-کج بودن قطعه)</t>
  </si>
  <si>
    <t xml:space="preserve"> کنترل چشمي 100% -بازرسی 100% در ایستگاه ICT-درایستگاه کنترل چشمی و انجام SPC</t>
  </si>
  <si>
    <t>بهبود در فرآیند وان قلع
حذف درپوش وان قلع</t>
  </si>
  <si>
    <t>1403/09/30
تاریخ مجدد
1403/12/30</t>
  </si>
  <si>
    <t>5.عدم مونتاژ  قطعه(بازر ، رله و وریستور)</t>
  </si>
  <si>
    <t>1404/02/30</t>
  </si>
  <si>
    <t xml:space="preserve">قطعه گذاری مطابق با نمونه شاهد
(NBCM-S&amp;I-425)
  و ماتریس مهارت‎های فردی  PO-PR-08-A
 دستورالعمل قطعه گذاري دستي  قطعات THT (INSERT)
 (PR-MA-02) 
دستورالعمل SPC (QC-CP-03)     </t>
  </si>
  <si>
    <t xml:space="preserve"> چک لیست تصدیق تنظیمات و راه اندازی خطوط تولید
 (PO-PR-AF)
 چک لیست بازرسی حین فرآیند (QC-CP01-E)</t>
  </si>
  <si>
    <t>چک لیست ارت و ESD - رطوبت دهی چاه های ارت - چک لیست سرویس PO-PM-C
با استفاده از دستگاه ارت سنج بصورت دوره ای در خط ارت دستبندها بررسی میشود</t>
  </si>
  <si>
    <t xml:space="preserve">عملکرد ناقص بر روی تستر کنترل نهایی یاخودرو </t>
  </si>
  <si>
    <t>عدم تنظيم صحيح دستگاه(پایین بودن ارتفاع فوران
Pre HEATING نامناسب فرايند Wave soldering كه منجر به سوختن soldering flux می گردد.</t>
  </si>
  <si>
    <t xml:space="preserve">فرم تاييد تنظيمات و زمان کارکرد (PO-PR-AF) (درج شاخص اندازه گیری جهت پایش میزان ارتفاع قلع در حوضچه در فرم تایید SETUP)
دستورالعمل لحيم كاري توسط دستگاه Wave Soldering
PR-MA-03
دستورالعمل نگهداری و تعمیرات
(PO-PM)
برنامه نت
(IS-PO-PM-D)
چک لیست  سرویس روزانه
(PO-PM-F)
دستورالعمل SPC (QC-CP-03)    </t>
  </si>
  <si>
    <t>2. اتصالی بین پایه های قطعات THT</t>
  </si>
  <si>
    <t>عملکرد ناقص بر روی تستر کنترل نهایی یا خودرو  (با توجه به محل اتصالی)</t>
  </si>
  <si>
    <t>اصلاح فیکسچر وان قلع</t>
  </si>
  <si>
    <t xml:space="preserve">آقای مهندس رستمی
</t>
  </si>
  <si>
    <t>3.اتصالی (وجود پاشش قلع بین  قطعات SMD -THTو یا بین قطعات SMD و وایا)</t>
  </si>
  <si>
    <t>عدم تنظيم صحيح دستگاه وان قلع
(تنظیم نبودن پروفایل گرمایی وان قلع
بالابودن میزان فوران قلع
تمیز نکردن قلع اضافه بر روی فیکسچرها)</t>
  </si>
  <si>
    <t>ساخت گیج جهت اندازه گیری سطح فوران قلع(شاخص تراز بودن پاتیل)-اضافه کردن به فرم JOBSETUP
فیکسچرهای وان قلع بعد از هر بار عبور دادن برد بایستی توسط فرچه تمیزکاری گردند
جابجايي قطعات SMD واياها و تست پوينت هاي مجاور قطعات THT جهت كاهش ريسك نفوذ قلع در هنگام فرايند WAVE SOLDERING 
پیرو اخطار کیفی 178288 و 176156و176221 و 176573 و 176753 و 176937 و 178002و178288و178508 و 179017و176455 و185848
2-اصلاح فیکسچر وان قلع
پیرو اخطار کیفی 183670و185281 و 185848
3_در زمان راه اندازي وان قلع و قبل از استفاده تمامي فيكسچر ها يكبار بصورت بدون PCB از وان عبور داده مي شوند اصلاح دستورالعمل (پیرو اخطار کیفی  شماره 196491)</t>
  </si>
  <si>
    <t>نت(رستمی)
تولید</t>
  </si>
  <si>
    <t>4.اتصالی اهمی بین پایه های  قطعات
(وجود flux بین پایه ها و قطعات-کثیفی برد و وایا)</t>
  </si>
  <si>
    <t>فرم تاييد تنظيمات و زمان کارکرد (PO-PR-AF) (درج شاخص اندازه گیری جهت پایش میزان ارتفاع قلع در حوضچه در فرم تایید SETUP)
دستورالعمل لحيم كاري توسط دستگاه Wave Soldering
PR-MA-03
دستورالعمل نگهداری و تعمیرات
(PO-PM)
برنامه نت
(IS-PO-PM-D)
چک لیست  سرویس روزانه
(PO-PM-F)</t>
  </si>
  <si>
    <t xml:space="preserve">استفاده از درپوش محافظتي روي PCB در هنگام عبور از وان به جهت جلوگيري از پاشش flux
(پیرو اخطار کیفی شماره 199378 ) 
اصلاح تنظیمات وان قلع و عدم پاشش flux روی برد
تغيير رويه بررسي و چك روزانه عدم وجود flux بر روي فيلتر ( چك ليست و JOB SETUP اصلاح شد ) </t>
  </si>
  <si>
    <t>شكرآبادي-توليد
تیم حل مسأله 
 مسيح زاده - رستمي</t>
  </si>
  <si>
    <t>عدم تنظيم صحيح دستگاه(پایین بودن ارتفاع فوران
Pre HEATING نامناسب فرايند Wave soldering كه منجر به سوختن soldering flux می گردد.
طراحی نامناسب فیکسچر و pcb</t>
  </si>
  <si>
    <t xml:space="preserve">
تولید (شکرآبادی)
تولید (شکرآبادی)
نت(خلیلی)
نت (رستمی)
سعدونی</t>
  </si>
  <si>
    <t xml:space="preserve">
1403/03/26
1403/03/26
1403/03/26
1403/11/30
1404/01/20</t>
  </si>
  <si>
    <t>6. ایجاد حفره روی پایه های قطعات THT در هنگام عبور از وان قلع</t>
  </si>
  <si>
    <t>عملکرد  ناقص در تستر کنترل نهایی یا خودرو(جدا شدن پایه از پد بر اثر تنش در طولانی مدت)</t>
  </si>
  <si>
    <t>تنظیمات وان قلع(عدم پاشش flux-
 PRE HEATING نامناسب فرايند Wave soldering.)</t>
  </si>
  <si>
    <t>فرم تاييد تنظيمات و زمان کارکرد (PO-PR-AF) 
دستورالعمل لحيم كاري توسط دستگاه Wave Soldering
PR-MA-03
دستورالعمل نگهداری و تعمیرات
(PO-PM)
برنامه نت
(IS-PO-PM-D)
چک لیست  سرویس روزانه
(PO-PM-F)</t>
  </si>
  <si>
    <t>7. نبود قطعه(افتادن قطعه THT از روی برد هنگام عبور از وان قلع)</t>
  </si>
  <si>
    <t xml:space="preserve">فرم تاييد تنظيمات و زمان کارکرد       (PO-PR-AF)
دستورالعمل لحيم كاري توسط دستگاه Wave Soldering
PR-MA-03
دستورالعمل نگهداری و تعمیرات
(PO-PM)
برنامه نت
(IS-PO-PM-D)
چک لیست  سرویس روزانه
(PO-PM-F)
دستورالعمل SPC (QC-CP-03)  </t>
  </si>
  <si>
    <t>8.مونتاژ نادرست -وجود فاصله بین قطعه و برد (بیرون نیامدن پایه قطعات THT از برد)</t>
  </si>
  <si>
    <t xml:space="preserve">دستورالعمل لحيم كاري توسط دستگاه Wave Soldering
PR-MA-03
دستورالعمل SPC (QC-CP-03)  </t>
  </si>
  <si>
    <t>بررسی توسط تیم CFT در خصوص ریشه یابی و ارائه اقدام
over haulکانوایر دستگاه وان قلع جهت کاهش لرزش دستگاه</t>
  </si>
  <si>
    <t>1403/11/30
تاریخ مجدد
1404/01/30
تاریخ مجدد
1404/02/30</t>
  </si>
  <si>
    <t>9.قلع اضافی (مخروطی نبودن پایه قطعات THT)</t>
  </si>
  <si>
    <t>فرم تاييد تنظيمات و زمان کارکرد       (PO-PR-AF)
دستورالعمل لحيم كاري توسط دستگاه Wave Soldering
PR-MA-03
دستورالعمل نگهداری و تعمیرات
(PO-PM)
برنامه نت
(IS-PO-PM-D)
چک لیست  سرویس روزانه
(PO-PM-F)</t>
  </si>
  <si>
    <t>ساخت گیج جهت اندازه گیری سطح فوران قلع(شاخص تراز بودن پاتیل)-اضافه کردن به فرم JOBSETUP</t>
  </si>
  <si>
    <t>10.الکتریسیته ساکن</t>
  </si>
  <si>
    <t>ماتریس مهارت‎های فردی
PO-PR-08-A 
چک لیست تصدیق تنظیمات و راه اندازی خطوط تولید
 (PO-PR-AF)
 چک لیست بازرسی حین فرآیند (QC-CP01-E)</t>
  </si>
  <si>
    <t>وجود ایراد در سیستم ارت و تجهیزات تخلیه الکتریسیته ساکن-عدم استفاده از دستکش آنتی استاتیک</t>
  </si>
  <si>
    <t>چک لیست ارت و ESD - رطوبت دهی چاه های ارت - چک لیست سرویس PO-PM-F
با استفاده از دستگاه ارت سنج بصورت دوره ای در خط ارت دستبندها بررسی میشود</t>
  </si>
  <si>
    <t>شارژ دستی</t>
  </si>
  <si>
    <t>1. اتصالی، وجود پاشش قلع روی پایه های SMD و  THT</t>
  </si>
  <si>
    <t xml:space="preserve"> کنترل با ابزار مرجع اندازه گیری دمای هویه TLIPD-00-22  کنترل چشمي 100% درایستگاه کنترل چشمی- بازرسی 100% در ایستگاه ICT و انجام SPC-کنترل 100% با تستر درایستگاه کنترل نهائی </t>
  </si>
  <si>
    <t>ماتریس مهارت‎های فردی PO-PR-08-A
دستورالعمل لحيم كاري دستي  (شار‍ژ قلع)
 (PR-MA-04)
 دستورالعمل SPC (QC-CP-03)     
نمودار شرایط غیر عادی  در ایستگاه بازرسی اپراتور خط تولید(خود کنترلی) QC-CP01-M
 چک لیست بازرسی حین فرآیند (QC-CP01-E)</t>
  </si>
  <si>
    <t>ماتریس مهارت‎های فردی PO-PR-08-A
دستورالعمل لحيم كاري دستي  (شار‍ژ قلع)
 (PR-MA-04)</t>
  </si>
  <si>
    <t>ماتریس مهارتهای فردی PO-PR-08-A
دستورالعمل لحيم كاري دستي  (شار‍ژ قلع)
 (PR-MA-04)
دستورالعمل SPC (QC-CP-03)  
دستورالعمل دمای هویه PA-AA-10
 ليست کنترل ماهانه دمای هویه(IS-PO-MT-H)         
نمودار شرایط غیر عادی  در ایستگاه بازرسی اپراتور خط تولید(خود کنترلی)
QC-CP01-M
 چک لیست تصدیق تنظیمات و راه اندازی خطوط تولید (PO-PR-AF)
 چک لیست بازرسی حین فرآیند (QC-CP01-E)</t>
  </si>
  <si>
    <t xml:space="preserve"> کنترل با ابزار مرجع اندازه گیری دمای هویه TLIPD-00-22 کنترل چشمي 100% درایستگاه کنترل چشمی- بازرسی 100% در ایستگاه ICT و انجام SPC-کنترل 100% با تستر درایستگاه کنترل نهائی </t>
  </si>
  <si>
    <t>ماتریس مهارتهای فردی PO-PR-08-A
دستورالعمل لحيم كاري دستي  (شار‍ژ قلع)
 (PR-MA-04)
دستورالعمل SPC (QC-CP-03)       
نمودار شرایط غیر عادی  در ایستگاه بازرسی اپراتور خط تولید(خود کنترلی)
QC-CP01-M
 چک لیست تصدیق تنظیمات و راه اندازی خطوط تولید
 (PO-PR-AF)
 چک لیست بازرسی حین فرآیند (QC-CP01-E)</t>
  </si>
  <si>
    <t>4.کمبود قلع (مخروطی نباشد) و عدم پوشش کامل قلع
(عدم اتصال کامل پایه به پد و قطعی اتصال)</t>
  </si>
  <si>
    <t xml:space="preserve"> عملکرد ناقص بر روی تستر کنترل نهایی یا خودرو </t>
  </si>
  <si>
    <t>عدم دقت کافی در زمان شارژ پایه های  40پین</t>
  </si>
  <si>
    <t>ماتریس مهارتهای فردیPO-PR-08-A
دستورالعمل لحيم كاري دستي  (شار‍ژ قلع)
 (PR-MA-04)
دستورالعمل spc (QC-CP-03)        
نمودار شرایط غیر عادی  در ایستگاه بازرسی اپراتور خط تولید(خود کنترلی) QC-CP01-M
 چک لیست تصدیق تنظیمات و راه اندازی خطوط تولید 
(PO-PR-AF)</t>
  </si>
  <si>
    <t>کنترل چشمي 100% درایستگاه کنترل چشمی</t>
  </si>
  <si>
    <t xml:space="preserve">اخذ تائیدیه چاه های ارت -اندازه گیری مقاومت چاه ها - برنامه و چک لیست ESD - بازرسی 100% در ایستگاه ICT-کنترل 100% با تستر درایستگاه کنترل نهائی </t>
  </si>
  <si>
    <t>ماتریس مهارت‎های فردی
PO-PR-08-A
 چک لیست تصدیق تنظیمات و راه اندازی خطوط تولید
 (PO-PR-AF)
 چک لیست بازرسی حین فرآیند (QC-CP01-E)</t>
  </si>
  <si>
    <t xml:space="preserve"> کنترل 100% با تستر درایستگاه کنترل نهائی 
انجام SPC</t>
  </si>
  <si>
    <t>دستورالعمل جداسازی بردهای يک شيت   PR-MA-06      
ماتریس مهارتهای فردی پرسنل PO-PR-08-A</t>
  </si>
  <si>
    <t xml:space="preserve">عدم دقت اپراتور در جداسازی برد و عدم پیش بینی ریسک های احتمالی فرآیند جداسازی برد </t>
  </si>
  <si>
    <t xml:space="preserve">3- اسیب در اثر الکتریسته ساکن </t>
  </si>
  <si>
    <t xml:space="preserve">آسیب در اثر الکتریسته ساکن </t>
  </si>
  <si>
    <t xml:space="preserve"> کنترل 100% با تستر درایستگاه کنترل نهائی و انجام SPC </t>
  </si>
  <si>
    <t>اخذ تائیدیه چاه های ارت -اندازه گیری مقاومت چاه ها - برنامه و چک لیست ESD - کنترل 100% با تستر درایستگاه کنترل نهائی و انجام SPC</t>
  </si>
  <si>
    <t>برنامه دهي</t>
  </si>
  <si>
    <t>اخذ تائیدیه چاه های ارت -اندازه گیری مقاومت چاه ها - برنامه و چک لیست ESD -کنترل 100% با تستر درایستگاه کنترل نهائی و انجام SPC</t>
  </si>
  <si>
    <t xml:space="preserve">1.عدم نصب لیبل در محل تعریف شده  </t>
  </si>
  <si>
    <t>دستگاه حک لیزر خطا ناپذیر شده است</t>
  </si>
  <si>
    <t>5-نصب لیبل اشتباه</t>
  </si>
  <si>
    <t>نارضایتی مشتری
عدم تطابق لیبل ردیابی با نوع محصول</t>
  </si>
  <si>
    <t>بی دقتی اپراتور-قرار دادن پرینتر در خارج از تستر</t>
  </si>
  <si>
    <t>دستورالعمل کنترل نهایی با کد QC-CP-244
ماتریس مهارت های فردی PO-PR-08-A</t>
  </si>
  <si>
    <t>اصلاح دستورالعمل کنترل نهایی در خصوص تغییر روش الصاق لیبل ردیابی
جا به جایی پرینتر چاپ لیبل به داخل محفظه تستر کنترل نهایی</t>
  </si>
  <si>
    <t>تولید-نت</t>
  </si>
  <si>
    <t>1403/10/30</t>
  </si>
  <si>
    <t xml:space="preserve">عدم رعایت طرح بسته بندی
</t>
  </si>
  <si>
    <t xml:space="preserve">        مطابق با طرح بسته بندی    DE-AP-M   
دستورالعمل تکمیل کاری NBCM (PR-MA-202)  
 ضد  خطاسازی فرآیند تعداد چیدمان در کارتن و چاپ اتوماتیک لیبل Packaging
 چک لیست بازرسی حین فرآیند (QC-CP01-E)
انجام آدیت محصول SQFE</t>
  </si>
  <si>
    <t>کنترل در همین ایستگاه 
چاپ لیبل بصورت اتوماتیک و کنترل تعدادی</t>
  </si>
  <si>
    <t>جاري سازي نرم افزار جديد شناسايي رديابي در ايستگاه بسته بندي جهت ضد خطاسازي و جلوگيري از ارسال باركد تكراري(پيمانكار شركت ساپكو آقاي مهندس عراقي )
پیرو اخطار کیفی 176406</t>
  </si>
  <si>
    <t>آماده سازی نادرست(چسبندگی کم چسب کاغذی پهن-پارگی کارتن)</t>
  </si>
  <si>
    <t xml:space="preserve">آسیب دیدگی قطعه در زمان چیدمان و جابجایی 
نارضایتی مشتری </t>
  </si>
  <si>
    <t>خطای اپراتور</t>
  </si>
  <si>
    <t>مطابق با طرح بسته بندی DE-AP-M</t>
  </si>
  <si>
    <t xml:space="preserve">خود کنترلی   اپراتور </t>
  </si>
  <si>
    <t>1404/07/07</t>
  </si>
  <si>
    <t>CP</t>
  </si>
  <si>
    <t>سوابق مشکلات کیفی</t>
  </si>
  <si>
    <t>مشخصات مهم محصول</t>
  </si>
  <si>
    <t>مشخصات مهم فرآیند</t>
  </si>
  <si>
    <t>MATRIX</t>
  </si>
  <si>
    <t>POKA YOKE</t>
  </si>
  <si>
    <t>تجهیزات تولید</t>
  </si>
  <si>
    <t>تجهیزات کنترلی</t>
  </si>
  <si>
    <t>دستورالعمل تولید</t>
  </si>
  <si>
    <t>دستورالعمل کنترل</t>
  </si>
  <si>
    <t>JOB SETUP</t>
  </si>
  <si>
    <t>بازرسی حین فرآیند</t>
  </si>
  <si>
    <t>SWI</t>
  </si>
  <si>
    <t>FPC</t>
  </si>
  <si>
    <t>MSA PLAN</t>
  </si>
  <si>
    <t>SPC PLAN</t>
  </si>
  <si>
    <t>عدم دقت اپراتور دربستن پیچ (کورس)/ تنظیم نبودن گشتاور پیچ گوشتی/ کالببره نبودن پیچ گوشتی</t>
  </si>
  <si>
    <t xml:space="preserve">خود کنترلی اپراتور </t>
  </si>
  <si>
    <t>خود کنترلی اپراتور
 چک لیست بازرسی حین فرآیند 
(QC-CP01-E)</t>
  </si>
  <si>
    <t>1- فرم دادن کوتاه یا بلند پایه های وریستور و خازن</t>
  </si>
  <si>
    <t>2-شکستگی و دفرمگی پایه وریستورو خازن</t>
  </si>
  <si>
    <t xml:space="preserve">- اضافه کردن فرمول برای محاسبه کلاس از روی عدد شدت
- افزودن جدول مدارک 
-افزودن فرمول محاسبه 20% بالای RPN
- نوشتن اقدام پیشنهادی در ایستگاه F10
- اصلاح عنوان حالت خرابی های 1و2و 5 در ایستگاه A130
-اصلاح علل بالقوه در احالت خرابی 1 و 3 در ایستگاه A130
-اصلاح کنترل پیشگیرانه در حالت خرابی های 4 و 6 در ایستگاه A130
-اصلاح اقدام پیشنهادی های نوشته شده در ایستگاه A130
A135
-حذف حالت خرابی شماره 6
-اصلاح عنوان حالت خرابی 2 و 3
-اصلاح اثر بالقوه در حالت خرابی 1 و 2
-اصلاح علل بالقوه در حالت خرابی 1 و 10
-اصلاح کد فرم ها در کنترل پیشگیرانه
-اصلاح اقدام پیشنهادی ها-
A140
-اصلاح عنوان حالت خرابی شماره 1 و شماره 4
-اصلاح اثر بالقوه در حالت خرابی های 1 و3 و 4
-اصلاح علل بالقوه در حالت خرابی شماده 5
-اصلاح کنترل پیشگیرانه </t>
  </si>
  <si>
    <t>A145
-اصلاح علل بالقوه و کنترل پیشگیرانه
A150
-اصلاح علل بالقوه و کنترل پیشگیرانه
A153
-اصلاح علل بالقوه و کنترل پیشگیرانه و جاری
A160
-اصلاح علل بالقوه و کنترل پیشگیرانه و جاری
A165
-اصلاح کنترل پیشگیرانه
A170
-اضافه کردن حالت خرابی شماره 5
-اصلاح کنترل جاری و پیشگیرانه
A175
-اصلاح کنترل پیشگیرانه</t>
  </si>
  <si>
    <t>A180
- اصلاح کنترل ها و علل بالقوه
L10
-اصلاح کل سلول ها
A185
-اصلاح کنترل ها
A190
- اصلاح کنترل پیشگیرانه</t>
  </si>
  <si>
    <t>R10</t>
  </si>
  <si>
    <t xml:space="preserve">آماده سازی پالت </t>
  </si>
  <si>
    <t>آماده سازی نادرست</t>
  </si>
  <si>
    <t xml:space="preserve">
_اصلاح فرايند وان قلع جهت كاهش ايرادات قلع كاري قطعات tht 
(پیرو اخطار کیفی شماره 195215)
_قطعاتي كه به عنوان SETUP اوليه در نظر گرفته مي شوند مجددا پس از تائيد اوليه از وان عبور كنند اصلاح دستورالعمل 
(پیرو اخطار کیفی شمارره 195950و195277)
_ساخت گيج جهت اندازه گيري فاصله ناخني كانواير با حوضچه وان قلع قبل از راه اندازي 
(پیرو اخطار کیفی شمارره 195950و195277)
ساخت گیج جهت اندازه گیری سطح فوران قلع(شاخص تراز بودن پاتیل)-اضافه کردن به فرم
 JOBSETUP
اصلاح پترن تست کنترل نهایی با توجه به اخطار 210750</t>
  </si>
  <si>
    <t>استفاده از برد مرجع
SBM-FORMING-007
دستورالعمل شکل دهی قطعات (THT FORMING)
 (PR-MA-01)
 چک لیست تصدیق تنظیمات و راه اندازی خطوط تولید 
(PO-PR-AF)
 چک لیست بازرسی حین فرآیند (QC-CP01-E)
ماتریس مهارت‎های فردی
PO-PR-08-A
دستورالعمل نگهداری و تعمیرات
(PO-PM)
برنامه سرویس و نگه داری نت 
(IS-PO-PM-D)
چک لیست سرویس روزانه   
(PO-PM-F)</t>
  </si>
  <si>
    <t>خطای اپراتور - عدم استفاده از دستبند ضد الکتریسیته ساکن و یا دستکش یا پایند آنتی استاتیک</t>
  </si>
  <si>
    <t>وجود ایراد در سیستم ارت و تجهیزات تخلیه الکتریسیته ساکن-عدم استفاده از دستکش یا پابند آنتی استاتیک</t>
  </si>
  <si>
    <t>کنترل 100%  اپراتور حک لیزر ,بازرس حین فرآیند (QC-CP01-E)</t>
  </si>
  <si>
    <t>کنترل 100% بازرس کنترل نهایی و بازرس حین فرآیند(QC-CP01-E)</t>
  </si>
  <si>
    <t>عدم رعایت طرح بسته بندی</t>
  </si>
  <si>
    <t xml:space="preserve">        مطابق با طرح بسته بندی
DE-AP-M   
دستورالعمل تکمیل کاری SBM
(PR-MA-212)  
 چک لیست بازرسی حین فرآیند
(QC-CP01-E)
انجام آدیت محصول SQFE</t>
  </si>
  <si>
    <t xml:space="preserve">        مطابق با طرح بسته بندی    DE-AP-M   دستورالعمل
دستورالعمل تکمیل کاری SBM
(PR-MA-212) 
 چک لیست بازرسی حین فرآیند (QC-CP01-E)</t>
  </si>
  <si>
    <t xml:space="preserve"> دستورالعمل نحوه انجام حک لیزر به کد MDE-PO-541
دستورالعمل تکمیل کاری SBM
(PR-MA-212) 
ماتریس مهارت‎های فردی
PO-PR-08-A
وجود فیکسچر جهت حک دقیق 
چک لیست بازرسی حین فرآیند (QC-CP01-E)</t>
  </si>
  <si>
    <t xml:space="preserve"> دستورالعمل نحوه انجام حک لیزر به کد MDE-PO-541
دستورالعمل تکمیل کاری SBM
(PR-MA-212) 
چک لیست تصدیق تنظیمات و راه اندازی خطوط تولید (PO-PR-AF)
 چک لیست سرویس روزانه با کد PO-PM-F
چک لیست سرویس هفتگی ماشین آلات با کد PO-PM-AH
ماتریس مهارتهای فردی PO-PR-08-A
چک لیست بازرسی حین فرآیند (QC-CP01-E)</t>
  </si>
  <si>
    <t xml:space="preserve"> دستورالعمل نحوه انجام حک لیزر به کد MDE-PO-541
دستورالعمل تکمیل کاری SBM
(PR-MA-212) 
ماتریس مهارتهای فردی PO-PR-08-A
وجود فیکسچر جهت حک دقیق 
چک لیست بازرسی حین فرآیند (QC-CP01-E)</t>
  </si>
  <si>
    <t>دستورالعمل تکمیل کاری SBM
(PR-MA-212) 
 چک لیست صحه گذاری دستگاه (QC-CP01-H)
 چک لیست بازرسی حین فرآیند (QC-CP01-E)
  چک لیست صحه گذاری (QC-CP01-H)
نرم افزار راه اندازي سيستم جهت جلوگيري از خطاهاي انساني خطاناپذیر شده است</t>
  </si>
  <si>
    <t>دستورالعمل تکمیل کاری SBM
(PR-MA-212) 
 چک لیست صحه گذاری دستگاه (QC-CP01-H)
 چک لیست صحه گذاری (QC-CP01-H)</t>
  </si>
  <si>
    <t xml:space="preserve"> ماتریس مهارت‎های فردی
PO-PR-08-A
دستورالعمل تکمیل کاری SBM
(PR-MA-212) 
دستورالعمل spc  (QC_CP_03)
 چک لیست بازرسی حین فرآیند (QC-CP01-E)</t>
  </si>
  <si>
    <t>اصلاح کد دستورالعمل برنامه دهی PR-MA-201
اصلاح عدد وقوع کجی ودفرمگی پین(رله) در اثر ضربه یا سقوط از روی میز کار در ایستگاه قطعه گذاری دستی از 2 به 3 با توجه به اخطار کیفی 213370
اصلاح کد نمونه شاهد برنامه دهی و کنترل نهایی و حک لیزر
اصلاح کد دستورالعمل تکمیل کاری SBM
(PR-MA-212) 
حذف سرویس و نگهداری از ایستگاه مونتاژ براکت و بستن پیچ
اصلاح موارد پیشگیرانه و جاری ایستگاه A190</t>
  </si>
  <si>
    <t>1404/07/16</t>
  </si>
  <si>
    <r>
      <t xml:space="preserve"> فاز تولید :  نمونه اولیه</t>
    </r>
    <r>
      <rPr>
        <b/>
        <sz val="12"/>
        <rFont val="Wingdings"/>
        <charset val="2"/>
      </rPr>
      <t>o</t>
    </r>
    <r>
      <rPr>
        <b/>
        <sz val="12"/>
        <rFont val="B Mitra"/>
        <charset val="178"/>
      </rPr>
      <t xml:space="preserve">     تولید یک روز خط</t>
    </r>
    <r>
      <rPr>
        <b/>
        <sz val="12"/>
        <rFont val="Wingdings"/>
        <charset val="2"/>
      </rPr>
      <t>n</t>
    </r>
    <r>
      <rPr>
        <b/>
        <sz val="12"/>
        <rFont val="B Mitra"/>
        <charset val="178"/>
      </rPr>
      <t xml:space="preserve">   تولید انبوه</t>
    </r>
    <r>
      <rPr>
        <b/>
        <sz val="12"/>
        <rFont val="Wingdings"/>
        <charset val="2"/>
      </rPr>
      <t>o</t>
    </r>
  </si>
  <si>
    <t>1404/11/30</t>
  </si>
  <si>
    <r>
      <t xml:space="preserve">قطعه گذاری مطابق با نمونه شاهد
</t>
    </r>
    <r>
      <rPr>
        <sz val="16"/>
        <rFont val="Calibri"/>
        <family val="2"/>
        <scheme val="minor"/>
      </rPr>
      <t>(SBM-S&amp;I-590)</t>
    </r>
    <r>
      <rPr>
        <sz val="14"/>
        <rFont val="Calibri"/>
        <family val="2"/>
        <scheme val="minor"/>
      </rPr>
      <t xml:space="preserve">
و ماتریس مهارت‎های فردی  PO-PR-08-A
 دستورالعمل قطعه گذاري دستي  قطعات THT (INSERT)
 (PR-MA-02) 
  دستورالعمل SPC (QC-CP-03)    
 چک لیست بازرسی حین فرآیند (QC-CP01-E)</t>
    </r>
  </si>
  <si>
    <r>
      <t xml:space="preserve">قطعه گذاری مطابق با نمونه شاهد
</t>
    </r>
    <r>
      <rPr>
        <sz val="16"/>
        <rFont val="Calibri"/>
        <family val="2"/>
        <scheme val="minor"/>
      </rPr>
      <t>(SBM-S&amp;I-590)</t>
    </r>
    <r>
      <rPr>
        <sz val="14"/>
        <rFont val="Calibri"/>
        <family val="2"/>
        <scheme val="minor"/>
      </rPr>
      <t xml:space="preserve">
  و ماتریس مهارت‎های فردی PO-PR-08-A
دستورالعمل قطعه گذاري دستي  قطعات THT (INSERT)
 (PR-MA-02) 
دستورالعمل SPC (QC-CP-03)    
 چک لیست بازرسی حین فرآیند (QC-CP01-E)</t>
    </r>
  </si>
  <si>
    <r>
      <t xml:space="preserve">قطعه گذاری مطابق با نمونه شاهد
</t>
    </r>
    <r>
      <rPr>
        <sz val="16"/>
        <rFont val="Calibri"/>
        <family val="2"/>
        <scheme val="minor"/>
      </rPr>
      <t xml:space="preserve">(SBM-S&amp;I-590)
</t>
    </r>
    <r>
      <rPr>
        <sz val="14"/>
        <rFont val="Calibri"/>
        <family val="2"/>
        <scheme val="minor"/>
      </rPr>
      <t xml:space="preserve">   و ماتریس مهارت‎های فردی PO-PR-08-A
 دستورالعمل قطعه گذاري دستي  قطعات THT (INSERT)
 (PR-MA-02) 
دستورالعمل SPC (QC-CP-03)    
 چک لیست بازرسی حین فرآیند (QC-CP01-E)
 دستورالعمل برخورد با قطعات افتاده بر زمین
(QC-CP- 109)</t>
    </r>
  </si>
  <si>
    <r>
      <t xml:space="preserve">قطعه گذاری مطابق با نمونه شاهد
</t>
    </r>
    <r>
      <rPr>
        <sz val="16"/>
        <rFont val="Calibri"/>
        <family val="2"/>
        <scheme val="minor"/>
      </rPr>
      <t>(SBM-S&amp;I-590)</t>
    </r>
    <r>
      <rPr>
        <sz val="14"/>
        <rFont val="Calibri"/>
        <family val="2"/>
        <scheme val="minor"/>
      </rPr>
      <t xml:space="preserve">
  و ماتریس مهارت‎های فردی PO-PR-08-A
دستورالعمل قطعه گذاري دستي  قطعات THT (INSERT)
 (PR-MA-02) 
 دستورالعمل SPC (QC-CP-03)     </t>
    </r>
  </si>
  <si>
    <r>
      <t xml:space="preserve">قطعه گذاری مطابق با نمونه شاهد
</t>
    </r>
    <r>
      <rPr>
        <sz val="16"/>
        <rFont val="Calibri"/>
        <family val="2"/>
        <scheme val="minor"/>
      </rPr>
      <t>(SBM-S&amp;I-590)</t>
    </r>
    <r>
      <rPr>
        <sz val="14"/>
        <rFont val="Calibri"/>
        <family val="2"/>
        <scheme val="minor"/>
      </rPr>
      <t xml:space="preserve">
  و ماتریس مهارت‎های فردی  PO-PR-08-A
دستورالعمل قطعه گذاري دستي  قطعات THT (INSERT)
 (PR-MA-02) 
دستورالعمل SPC (QC-CP-03)     </t>
    </r>
  </si>
  <si>
    <r>
      <t xml:space="preserve">قطعه گذاری مطابق با نمونه شاهد
</t>
    </r>
    <r>
      <rPr>
        <sz val="16"/>
        <rFont val="Calibri"/>
        <family val="2"/>
        <scheme val="minor"/>
      </rPr>
      <t>(SBM-S&amp;I-590)</t>
    </r>
    <r>
      <rPr>
        <sz val="14"/>
        <rFont val="Calibri"/>
        <family val="2"/>
        <scheme val="minor"/>
      </rPr>
      <t xml:space="preserve">
  و ماتریس مهارت‎های فردی PO-PR-08-A
 دستورالعمل قطعه گذاري دستي  قطعات THT (INSERT)
 (PR-MA-02) 
 دستورالعمل SPC (QC-CP-03)     </t>
    </r>
  </si>
  <si>
    <r>
      <t xml:space="preserve">مطابق نمونه شاهد
</t>
    </r>
    <r>
      <rPr>
        <sz val="16"/>
        <rFont val="Calibri"/>
        <family val="2"/>
        <scheme val="minor"/>
      </rPr>
      <t>(SBM-S&amp;I-590)</t>
    </r>
    <r>
      <rPr>
        <sz val="14"/>
        <rFont val="Calibri"/>
        <family val="2"/>
        <scheme val="minor"/>
      </rPr>
      <t xml:space="preserve">
وماتریس مهارت‎های فردی
PO-PR-08-A
دستورالعمل لحيم كاري دستي  (شار‍ژ قلع)
 (PR-MA-04)
دستورالعمل SPC (QC-CP-03)  
دستورالعمل دمای هویه PA-AA-10
ليست کنترل ماهانه دمای هویه (IS-PO-MT-H)         
نمودار شرایط غیر عادی  در ایستگاه بازرسی اپراتور خط تولید(خود کنترلی) QC-CP01-M
 چک لیست تصدیق تنظیمات و راه اندازی خطوط تولید
 (PO-PR-AF)
 چک لیست بازرسی حین فرآیند (QC-CP01-E)</t>
    </r>
  </si>
  <si>
    <t>دستورالعمل برنامه دهی PR-MA-201  
دستورالعمل کنترل نهائی  QC-CP-244   
ماتریس مهارت‎های فردی
PO-PR-08-A
مطابق با لیست نمونه شاهد
SBM-ICT-587(OK)
SBM-ICT-586(NOK)
 چک لیست تصدیق تنظیمات و راه اندازی خطوط تولید 
(PO-PR-AF)
 چک لیست بازرسی حین فرآیند (QC-CP01-E)
دستورالعمل نگهداری و تعمیرات
(PO-PM)
برنامه سرویس و نگه داری نت 
(IS-PO-PM-D)
چک لیست سرویس روزانه   
(PO-PM-F)
به اشتراک گذاری فقط یک نرم افزار تائید شده  روی سرور توسط مهندسی
Check Version در ایستگاه کنترل نهائی</t>
  </si>
  <si>
    <t xml:space="preserve">مطابق نمونه شاهد 
SBM-FQC-589(OK-207)
SBM-FQC-588(NOK-207)
SBM-FQC-570(OK-SOREN)
SBM-FQC-571(NOK-SOREN)
دستورالعمل تکمیل کاری SBM
(PR-MA-212) </t>
  </si>
  <si>
    <t>مطابق نمونه شاهد 
(207)SBM-INT-441 
SBM-INT-656 (SOREN)
دستورالعمل تکمیل کاریSBM
 (PR-MA-212)
 چک لیست بازرسی حین فرآیند 
(QC-CP01-E)
 ماتریس مهارت‎های فردی
(PO-PR-08-A)
 ( تنظیم گشتاور پیچ گوشتی 0.5 نیوتن متر) 
 چک لیست تصدیق تنظیمات و راه اندازی خطوط تولید 
(PO-PR-AF)</t>
  </si>
  <si>
    <t>مطابق نمونه شاهد 
(207)SBM-INT-441 
SBM-INT-656 (SOREN)
دستورالعمل تکمیل کاریSBM
 (PR-MA-212)
 ماتریس مهارت‎های فردی
(PO-PR-08-A)
 چک لیست تصدیق تنظیمات و راه اندازی خطوط تولید 
(PO-PR-AF)</t>
  </si>
  <si>
    <t xml:space="preserve">
انجام شد
انجام شد
انجام شد
انجام شد</t>
  </si>
  <si>
    <t>بازنگری فرم  : 9</t>
  </si>
  <si>
    <t>راهنمای تغییر مدارک</t>
  </si>
  <si>
    <t>مدارک تحت تاثیر تغییر</t>
  </si>
  <si>
    <t>1404/09/26</t>
  </si>
  <si>
    <t>اصلاح آبکاری پایه های کانکتور 14 و 40 پین
بالا بردن دوره تناوب تميزکاري WAVE SOLDERING در هر شيفت کاري
خارج نمودن اپراتور و بازرس از ماتريس مهارت و انجام MSA</t>
  </si>
  <si>
    <t xml:space="preserve">
1404/02/31
1404/09/12
1404/09/12
</t>
  </si>
  <si>
    <t xml:space="preserve">تأمین داخلی
تولید
کیفیت
</t>
  </si>
  <si>
    <t>اصلاح کد نمونه شاهد ها
افزایش عدد وقوع کمبود قلع در ایستگاه وان قلع از 7 به 8 مطابق با اخطارهای کیفی 221357-222129
تعریف اقدام جهت رفع ایراد کمبود قلع در ایستگاه وان قلع</t>
  </si>
  <si>
    <t>نام قطعه: SBM SOREN ASSY-SBR</t>
  </si>
  <si>
    <t xml:space="preserve">تاریخ بازنگری:  </t>
  </si>
  <si>
    <t xml:space="preserve">شماره بازنگری:  </t>
  </si>
  <si>
    <t xml:space="preserve">شماره بازنگری سند: </t>
  </si>
  <si>
    <t xml:space="preserve">کد سند: </t>
  </si>
  <si>
    <t>A176</t>
  </si>
  <si>
    <t>مونتاژ فوم ضربه گیر</t>
  </si>
  <si>
    <t xml:space="preserve">مونتاژ sbmروی براکت </t>
  </si>
  <si>
    <t>بسته بندی نهایی(چیدمان درپالت RE8)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</si>
</sst>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Calibri"/>
      <family val="2"/>
      <scheme val="minor"/>
    </font>
    <font>
      <sz val="13"/>
      <color theme="1"/>
      <name val="B Nazanin"/>
      <charset val="178"/>
    </font>
    <font>
      <sz val="10"/>
      <color theme="1"/>
      <name val="B Nazanin"/>
      <charset val="178"/>
    </font>
    <font>
      <sz val="12"/>
      <color theme="1"/>
      <name val="B Nazanin"/>
      <charset val="178"/>
    </font>
    <font>
      <sz val="10"/>
      <name val="Arial"/>
      <family val="2"/>
    </font>
    <font>
      <sz val="11"/>
      <color theme="1"/>
      <name val="Calibri"/>
      <family val="2"/>
      <scheme val="minor"/>
    </font>
    <font>
      <sz val="10"/>
      <name val="Arial"/>
      <family val="2"/>
    </font>
    <font>
      <u/>
      <sz val="10"/>
      <color theme="10"/>
      <name val="Arial"/>
      <family val="2"/>
    </font>
    <font>
      <sz val="11"/>
      <name val="Arial"/>
      <family val="2"/>
    </font>
    <font>
      <sz val="10"/>
      <name val="Arial"/>
      <family val="2"/>
    </font>
    <font>
      <sz val="11"/>
      <color theme="1" tint="0.14999847407452621"/>
      <name val="Calibri"/>
      <family val="2"/>
      <scheme val="minor"/>
    </font>
    <font>
      <sz val="11"/>
      <name val="Calibri"/>
      <family val="2"/>
      <scheme val="minor"/>
    </font>
    <font>
      <sz val="14"/>
      <name val="Calibri"/>
      <family val="2"/>
      <scheme val="minor"/>
    </font>
    <font>
      <sz val="13"/>
      <color theme="1"/>
      <name val="Calibri"/>
      <family val="2"/>
      <scheme val="minor"/>
    </font>
    <font>
      <sz val="12"/>
      <name val="Calibri"/>
      <family val="2"/>
      <scheme val="minor"/>
    </font>
    <font>
      <b/>
      <sz val="12"/>
      <name val="B Nazanin"/>
      <charset val="178"/>
    </font>
    <font>
      <sz val="13"/>
      <name val="B Nazanin"/>
      <charset val="178"/>
    </font>
    <font>
      <sz val="13"/>
      <name val="Cambria"/>
      <family val="1"/>
      <scheme val="major"/>
    </font>
    <font>
      <sz val="14"/>
      <name val="B Nazanin"/>
      <charset val="178"/>
    </font>
    <font>
      <sz val="14"/>
      <color theme="1"/>
      <name val="Calibri"/>
      <family val="2"/>
      <scheme val="minor"/>
    </font>
    <font>
      <sz val="14"/>
      <color rgb="FFFF0000"/>
      <name val="Calibri"/>
      <family val="2"/>
      <scheme val="minor"/>
    </font>
    <font>
      <sz val="13"/>
      <color rgb="FFFF0000"/>
      <name val="B Nazanin"/>
      <charset val="178"/>
    </font>
    <font>
      <sz val="8"/>
      <name val="Calibri"/>
      <family val="2"/>
      <scheme val="minor"/>
    </font>
    <font>
      <sz val="14"/>
      <color theme="1"/>
      <name val="B Nazanin"/>
      <charset val="178"/>
    </font>
    <font>
      <sz val="14"/>
      <color theme="1"/>
      <name val="Times New Roman"/>
      <family val="1"/>
    </font>
    <font>
      <b/>
      <sz val="12"/>
      <name val="Times New Roman"/>
      <family val="1"/>
    </font>
    <font>
      <sz val="14"/>
      <color rgb="FF00B050"/>
      <name val="Calibri"/>
      <family val="2"/>
      <scheme val="minor"/>
    </font>
    <font>
      <sz val="14"/>
      <name val="Calibri"/>
      <family val="2"/>
    </font>
    <font>
      <b/>
      <sz val="18"/>
      <name val="B Titr"/>
      <charset val="178"/>
    </font>
    <font>
      <b/>
      <sz val="11"/>
      <name val="B Mitra"/>
      <charset val="178"/>
    </font>
    <font>
      <sz val="14"/>
      <name val="B Mitra"/>
      <charset val="178"/>
    </font>
    <font>
      <b/>
      <sz val="12"/>
      <name val="B Mitra"/>
      <charset val="178"/>
    </font>
    <font>
      <b/>
      <sz val="12"/>
      <name val="Wingdings"/>
      <charset val="2"/>
    </font>
    <font>
      <b/>
      <sz val="12"/>
      <color theme="1"/>
      <name val="Calibri"/>
      <family val="2"/>
      <scheme val="minor"/>
    </font>
    <font>
      <b/>
      <sz val="14"/>
      <name val="Calibri"/>
      <family val="2"/>
      <scheme val="minor"/>
    </font>
    <font>
      <sz val="10"/>
      <color theme="1"/>
      <name val="Calibri"/>
      <family val="2"/>
      <scheme val="minor"/>
    </font>
    <font>
      <sz val="14"/>
      <color theme="1"/>
      <name val="Calibri"/>
      <family val="2"/>
    </font>
    <font>
      <sz val="16"/>
      <name val="Calibri"/>
      <family val="2"/>
      <scheme val="minor"/>
    </font>
    <font>
      <sz val="9"/>
      <color indexed="81"/>
      <name val="Tahoma"/>
      <family val="2"/>
    </font>
    <font>
      <b/>
      <sz val="9"/>
      <color indexed="81"/>
      <name val="Tahoma"/>
      <family val="2"/>
    </font>
    <font>
      <sz val="14"/>
      <color theme="1"/>
      <name val="B Titr"/>
      <charset val="178"/>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59999389629810485"/>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4">
    <xf numFmtId="0" fontId="0" fillId="0" borderId="0"/>
    <xf numFmtId="0" fontId="5" fillId="0" borderId="0"/>
    <xf numFmtId="0" fontId="6" fillId="0" borderId="0"/>
    <xf numFmtId="0" fontId="7" fillId="0" borderId="0" applyNumberFormat="0" applyFill="0" applyBorder="0" applyAlignment="0" applyProtection="0"/>
    <xf numFmtId="0" fontId="5" fillId="0" borderId="0"/>
    <xf numFmtId="0" fontId="5" fillId="0" borderId="0"/>
    <xf numFmtId="0" fontId="5" fillId="0" borderId="0"/>
    <xf numFmtId="0" fontId="5"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5" fillId="0" borderId="0"/>
    <xf numFmtId="0" fontId="5" fillId="0" borderId="0"/>
    <xf numFmtId="0" fontId="7"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 fillId="0" borderId="0"/>
    <xf numFmtId="0" fontId="4" fillId="0" borderId="0"/>
    <xf numFmtId="0" fontId="4" fillId="0" borderId="0"/>
    <xf numFmtId="0" fontId="4" fillId="0" borderId="0"/>
    <xf numFmtId="0" fontId="4" fillId="0" borderId="0"/>
  </cellStyleXfs>
  <cellXfs count="276">
    <xf numFmtId="0" fontId="0" fillId="0" borderId="0" xfId="0"/>
    <xf numFmtId="0" fontId="1" fillId="0" borderId="0" xfId="0" applyFont="1"/>
    <xf numFmtId="0" fontId="1" fillId="0" borderId="0" xfId="0" applyFont="1" applyAlignment="1">
      <alignment vertical="center"/>
    </xf>
    <xf numFmtId="0" fontId="5" fillId="0" borderId="0" xfId="1"/>
    <xf numFmtId="0" fontId="10" fillId="0" borderId="0" xfId="1" applyFont="1"/>
    <xf numFmtId="0" fontId="11" fillId="0" borderId="0" xfId="1" applyFont="1"/>
    <xf numFmtId="0" fontId="11" fillId="2" borderId="0" xfId="1" applyFont="1" applyFill="1"/>
    <xf numFmtId="0" fontId="8" fillId="0" borderId="0" xfId="1" applyFont="1" applyAlignment="1">
      <alignment horizontal="center" vertical="center" wrapText="1" readingOrder="2"/>
    </xf>
    <xf numFmtId="0" fontId="1" fillId="0" borderId="1" xfId="0" applyFont="1" applyBorder="1" applyAlignment="1">
      <alignment horizontal="center" vertical="center"/>
    </xf>
    <xf numFmtId="0" fontId="2" fillId="3" borderId="1" xfId="0" applyFont="1" applyFill="1" applyBorder="1" applyAlignment="1">
      <alignment horizontal="center" vertical="center"/>
    </xf>
    <xf numFmtId="0" fontId="12" fillId="2" borderId="1" xfId="1" applyFont="1" applyFill="1" applyBorder="1" applyAlignment="1">
      <alignment horizontal="center" vertical="center" wrapText="1"/>
    </xf>
    <xf numFmtId="0" fontId="12" fillId="2" borderId="1" xfId="1" applyFont="1" applyFill="1" applyBorder="1" applyAlignment="1">
      <alignment horizontal="center" vertical="center"/>
    </xf>
    <xf numFmtId="0" fontId="12" fillId="0" borderId="1" xfId="1" applyFont="1" applyBorder="1" applyAlignment="1">
      <alignment horizontal="center" vertical="center" wrapText="1" readingOrder="2"/>
    </xf>
    <xf numFmtId="0" fontId="12" fillId="0" borderId="1" xfId="1" applyFont="1" applyBorder="1" applyAlignment="1">
      <alignment horizontal="center" vertical="center" wrapText="1"/>
    </xf>
    <xf numFmtId="0" fontId="12" fillId="2" borderId="17" xfId="1" applyFont="1" applyFill="1" applyBorder="1" applyAlignment="1">
      <alignment horizontal="center" vertical="center"/>
    </xf>
    <xf numFmtId="0" fontId="12" fillId="2" borderId="1" xfId="0" applyFont="1" applyFill="1" applyBorder="1" applyAlignment="1">
      <alignment horizontal="center" vertical="center" wrapText="1" readingOrder="2"/>
    </xf>
    <xf numFmtId="0" fontId="12" fillId="0" borderId="1" xfId="58" applyFont="1" applyBorder="1" applyAlignment="1">
      <alignment horizontal="center" vertical="center" wrapText="1" readingOrder="2"/>
    </xf>
    <xf numFmtId="0" fontId="13" fillId="0" borderId="1" xfId="0" applyFont="1" applyBorder="1" applyAlignment="1">
      <alignment horizontal="center" vertical="center"/>
    </xf>
    <xf numFmtId="49" fontId="13" fillId="0" borderId="1" xfId="0" applyNumberFormat="1" applyFont="1" applyBorder="1" applyAlignment="1">
      <alignment horizontal="center" vertical="center" readingOrder="2"/>
    </xf>
    <xf numFmtId="49" fontId="3" fillId="0" borderId="1" xfId="0" applyNumberFormat="1" applyFont="1" applyBorder="1" applyAlignment="1">
      <alignment horizontal="center" vertical="center" wrapText="1" readingOrder="2"/>
    </xf>
    <xf numFmtId="49" fontId="1" fillId="0" borderId="1" xfId="0" applyNumberFormat="1" applyFont="1" applyBorder="1" applyAlignment="1">
      <alignment horizontal="center" vertical="center" wrapText="1" readingOrder="2"/>
    </xf>
    <xf numFmtId="0" fontId="1" fillId="0" borderId="1" xfId="0" applyFont="1" applyBorder="1" applyAlignment="1">
      <alignment horizontal="center" vertical="center" wrapText="1"/>
    </xf>
    <xf numFmtId="0" fontId="12" fillId="2" borderId="1" xfId="1" applyFont="1" applyFill="1" applyBorder="1" applyAlignment="1">
      <alignment horizontal="center" vertical="center" wrapText="1" readingOrder="2"/>
    </xf>
    <xf numFmtId="0" fontId="16" fillId="0" borderId="0" xfId="0" applyFont="1" applyAlignment="1">
      <alignment horizontal="center"/>
    </xf>
    <xf numFmtId="0" fontId="12" fillId="0" borderId="17" xfId="0" applyFont="1" applyBorder="1" applyAlignment="1">
      <alignment horizontal="center" vertical="center"/>
    </xf>
    <xf numFmtId="0" fontId="17" fillId="0" borderId="0" xfId="0" applyFont="1" applyAlignment="1">
      <alignment horizontal="center"/>
    </xf>
    <xf numFmtId="0" fontId="17" fillId="2" borderId="0" xfId="0" applyFont="1" applyFill="1" applyAlignment="1">
      <alignment horizontal="center"/>
    </xf>
    <xf numFmtId="49" fontId="16" fillId="0" borderId="1" xfId="0" applyNumberFormat="1" applyFont="1" applyBorder="1" applyAlignment="1">
      <alignment horizontal="center" vertical="center" wrapText="1"/>
    </xf>
    <xf numFmtId="0" fontId="19" fillId="0" borderId="1" xfId="0" applyFont="1" applyBorder="1" applyAlignment="1">
      <alignment horizontal="center" vertical="center" wrapText="1" readingOrder="2"/>
    </xf>
    <xf numFmtId="0" fontId="19" fillId="0" borderId="1" xfId="1" applyFont="1" applyBorder="1" applyAlignment="1">
      <alignment horizontal="center" vertical="center" wrapText="1" readingOrder="2"/>
    </xf>
    <xf numFmtId="0" fontId="12" fillId="0" borderId="17" xfId="1" applyFont="1" applyBorder="1" applyAlignment="1">
      <alignment horizontal="center" vertical="center"/>
    </xf>
    <xf numFmtId="0" fontId="11" fillId="0" borderId="0" xfId="0" applyFont="1"/>
    <xf numFmtId="49" fontId="14" fillId="0" borderId="1" xfId="0" applyNumberFormat="1" applyFont="1" applyBorder="1" applyAlignment="1">
      <alignment horizontal="center" vertical="center" wrapText="1" readingOrder="2"/>
    </xf>
    <xf numFmtId="0" fontId="12" fillId="0" borderId="1" xfId="0" applyFont="1" applyBorder="1"/>
    <xf numFmtId="0" fontId="20" fillId="2" borderId="1" xfId="1" applyFont="1" applyFill="1" applyBorder="1" applyAlignment="1">
      <alignment horizontal="center" vertical="center" wrapText="1"/>
    </xf>
    <xf numFmtId="0" fontId="12" fillId="0" borderId="1" xfId="1" applyFont="1" applyBorder="1" applyAlignment="1">
      <alignment horizontal="center" vertical="center"/>
    </xf>
    <xf numFmtId="0" fontId="12" fillId="0" borderId="0" xfId="1" applyFont="1"/>
    <xf numFmtId="0" fontId="20" fillId="0" borderId="1" xfId="1" applyFont="1" applyBorder="1" applyAlignment="1">
      <alignment horizontal="center" vertical="center" wrapText="1"/>
    </xf>
    <xf numFmtId="0" fontId="20" fillId="0" borderId="1" xfId="0" applyFont="1" applyBorder="1" applyAlignment="1">
      <alignment horizontal="center" vertical="center" wrapText="1"/>
    </xf>
    <xf numFmtId="0" fontId="20" fillId="2" borderId="1" xfId="0" applyFont="1" applyFill="1" applyBorder="1" applyAlignment="1">
      <alignment horizontal="center" vertical="center"/>
    </xf>
    <xf numFmtId="0" fontId="21" fillId="0" borderId="0" xfId="0" applyFont="1" applyAlignment="1">
      <alignment horizontal="center"/>
    </xf>
    <xf numFmtId="0" fontId="21" fillId="0" borderId="0" xfId="0" applyFont="1"/>
    <xf numFmtId="0" fontId="12" fillId="0" borderId="0" xfId="58" applyFont="1"/>
    <xf numFmtId="0" fontId="20" fillId="0" borderId="1" xfId="0" applyFont="1" applyBorder="1" applyAlignment="1">
      <alignment horizontal="center" vertical="center"/>
    </xf>
    <xf numFmtId="0" fontId="1" fillId="0" borderId="9" xfId="0" applyFont="1" applyBorder="1" applyAlignment="1">
      <alignment horizontal="center" vertical="center"/>
    </xf>
    <xf numFmtId="0" fontId="15" fillId="4" borderId="9" xfId="0" applyFont="1" applyFill="1" applyBorder="1" applyAlignment="1">
      <alignment horizontal="center" vertical="center"/>
    </xf>
    <xf numFmtId="0" fontId="15" fillId="4" borderId="9"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readingOrder="2"/>
    </xf>
    <xf numFmtId="0" fontId="23" fillId="0" borderId="0" xfId="1" applyFont="1"/>
    <xf numFmtId="0" fontId="23" fillId="0" borderId="19" xfId="1" applyFont="1" applyBorder="1" applyAlignment="1">
      <alignment horizontal="right" vertical="center" readingOrder="2"/>
    </xf>
    <xf numFmtId="0" fontId="23" fillId="0" borderId="2" xfId="1" applyFont="1" applyBorder="1" applyAlignment="1">
      <alignment horizontal="right" vertical="center" readingOrder="2"/>
    </xf>
    <xf numFmtId="0" fontId="23" fillId="0" borderId="2" xfId="1" applyFont="1" applyBorder="1" applyAlignment="1">
      <alignment horizontal="right" vertical="center" indent="2" readingOrder="2"/>
    </xf>
    <xf numFmtId="0" fontId="23" fillId="0" borderId="26" xfId="1" applyFont="1" applyBorder="1" applyAlignment="1">
      <alignment horizontal="right" vertical="center" indent="2" readingOrder="2"/>
    </xf>
    <xf numFmtId="0" fontId="23" fillId="0" borderId="30" xfId="1" applyFont="1" applyBorder="1" applyAlignment="1">
      <alignment horizontal="right" vertical="center" readingOrder="2"/>
    </xf>
    <xf numFmtId="0" fontId="23" fillId="0" borderId="31" xfId="1" applyFont="1" applyBorder="1" applyAlignment="1">
      <alignment horizontal="center" vertical="center" readingOrder="2"/>
    </xf>
    <xf numFmtId="0" fontId="23" fillId="0" borderId="31" xfId="1" applyFont="1" applyBorder="1" applyAlignment="1">
      <alignment horizontal="right" vertical="center" indent="1" readingOrder="2"/>
    </xf>
    <xf numFmtId="0" fontId="23" fillId="0" borderId="32" xfId="1" applyFont="1" applyBorder="1" applyAlignment="1">
      <alignment horizontal="right" vertical="center" indent="1" readingOrder="2"/>
    </xf>
    <xf numFmtId="0" fontId="19" fillId="2" borderId="1" xfId="0" applyFont="1" applyFill="1" applyBorder="1" applyAlignment="1">
      <alignment horizontal="center" vertical="center" wrapText="1" readingOrder="2"/>
    </xf>
    <xf numFmtId="0" fontId="12" fillId="2" borderId="1" xfId="58" applyFont="1" applyFill="1" applyBorder="1" applyAlignment="1">
      <alignment horizontal="center" vertical="center" wrapText="1" readingOrder="2"/>
    </xf>
    <xf numFmtId="0" fontId="16" fillId="2" borderId="0" xfId="0" applyFont="1" applyFill="1" applyAlignment="1">
      <alignment horizontal="center"/>
    </xf>
    <xf numFmtId="0" fontId="18" fillId="2" borderId="2" xfId="1" applyFont="1" applyFill="1" applyBorder="1" applyAlignment="1">
      <alignment horizontal="right" vertical="center" indent="2" readingOrder="2"/>
    </xf>
    <xf numFmtId="0" fontId="18" fillId="2" borderId="31" xfId="1" applyFont="1" applyFill="1" applyBorder="1" applyAlignment="1">
      <alignment horizontal="right" vertical="center" indent="1" readingOrder="2"/>
    </xf>
    <xf numFmtId="0" fontId="16" fillId="2" borderId="0" xfId="0" applyFont="1" applyFill="1"/>
    <xf numFmtId="0" fontId="12" fillId="0" borderId="1" xfId="58" applyFont="1" applyBorder="1" applyAlignment="1">
      <alignment horizontal="center" vertical="center" wrapText="1"/>
    </xf>
    <xf numFmtId="0" fontId="26" fillId="2" borderId="1" xfId="0" applyFont="1" applyFill="1" applyBorder="1" applyAlignment="1">
      <alignment horizontal="center" vertical="center" wrapText="1" readingOrder="2"/>
    </xf>
    <xf numFmtId="0" fontId="12" fillId="0" borderId="1" xfId="0" applyFont="1" applyBorder="1" applyAlignment="1">
      <alignment horizontal="right" vertical="center" wrapText="1" readingOrder="2"/>
    </xf>
    <xf numFmtId="0" fontId="13" fillId="0" borderId="0" xfId="0" applyFont="1" applyAlignment="1">
      <alignment vertical="center"/>
    </xf>
    <xf numFmtId="0" fontId="12" fillId="2" borderId="1" xfId="1" applyFont="1" applyFill="1" applyBorder="1" applyAlignment="1">
      <alignment vertical="center" wrapText="1" readingOrder="2"/>
    </xf>
    <xf numFmtId="0" fontId="4" fillId="0" borderId="0" xfId="63"/>
    <xf numFmtId="0" fontId="33" fillId="0" borderId="0" xfId="0" applyFont="1"/>
    <xf numFmtId="0" fontId="20" fillId="2" borderId="1" xfId="1" applyFont="1" applyFill="1" applyBorder="1" applyAlignment="1">
      <alignment horizontal="center" vertical="center"/>
    </xf>
    <xf numFmtId="0" fontId="20" fillId="2" borderId="17" xfId="1" applyFont="1" applyFill="1" applyBorder="1" applyAlignment="1">
      <alignment horizontal="center" vertical="center"/>
    </xf>
    <xf numFmtId="0" fontId="19" fillId="2" borderId="1" xfId="1" applyFont="1" applyFill="1" applyBorder="1" applyAlignment="1">
      <alignment horizontal="center" vertical="center" wrapText="1" readingOrder="2"/>
    </xf>
    <xf numFmtId="14" fontId="12" fillId="2" borderId="1" xfId="1" applyNumberFormat="1" applyFont="1" applyFill="1" applyBorder="1" applyAlignment="1">
      <alignment horizontal="center" vertical="center" wrapText="1"/>
    </xf>
    <xf numFmtId="14" fontId="19" fillId="0" borderId="1" xfId="1" applyNumberFormat="1" applyFont="1" applyBorder="1" applyAlignment="1">
      <alignment horizontal="center" vertical="center" wrapText="1"/>
    </xf>
    <xf numFmtId="0" fontId="26" fillId="2" borderId="1" xfId="0" applyFont="1" applyFill="1" applyBorder="1" applyAlignment="1">
      <alignment horizontal="center" vertical="center" wrapText="1"/>
    </xf>
    <xf numFmtId="0" fontId="19" fillId="0" borderId="1" xfId="1" applyFont="1" applyBorder="1" applyAlignment="1">
      <alignment horizontal="center" vertical="center" wrapText="1"/>
    </xf>
    <xf numFmtId="0" fontId="26" fillId="2" borderId="1" xfId="0" applyFont="1" applyFill="1" applyBorder="1" applyAlignment="1">
      <alignment horizontal="center" vertical="center"/>
    </xf>
    <xf numFmtId="14" fontId="12" fillId="2" borderId="1" xfId="1" applyNumberFormat="1" applyFont="1" applyFill="1" applyBorder="1" applyAlignment="1">
      <alignment vertical="center" wrapText="1"/>
    </xf>
    <xf numFmtId="14" fontId="12" fillId="0" borderId="1" xfId="1" applyNumberFormat="1" applyFont="1" applyBorder="1" applyAlignment="1">
      <alignment vertical="center" wrapText="1"/>
    </xf>
    <xf numFmtId="0" fontId="12" fillId="0" borderId="1" xfId="0" applyFont="1" applyBorder="1" applyAlignment="1">
      <alignment horizontal="center"/>
    </xf>
    <xf numFmtId="0" fontId="1" fillId="2" borderId="0" xfId="0" applyFont="1" applyFill="1"/>
    <xf numFmtId="0" fontId="1" fillId="2" borderId="0" xfId="0" applyFont="1" applyFill="1" applyAlignment="1">
      <alignment vertical="center"/>
    </xf>
    <xf numFmtId="0" fontId="12" fillId="2" borderId="1" xfId="0" applyFont="1" applyFill="1" applyBorder="1" applyAlignment="1">
      <alignment horizontal="center" vertical="center" readingOrder="2"/>
    </xf>
    <xf numFmtId="0" fontId="23" fillId="2" borderId="2" xfId="1" applyFont="1" applyFill="1" applyBorder="1" applyAlignment="1">
      <alignment horizontal="right" vertical="center" indent="2" readingOrder="2"/>
    </xf>
    <xf numFmtId="0" fontId="23" fillId="2" borderId="31" xfId="1" applyFont="1" applyFill="1" applyBorder="1" applyAlignment="1">
      <alignment horizontal="right" vertical="center" indent="1" readingOrder="2"/>
    </xf>
    <xf numFmtId="0" fontId="19" fillId="2" borderId="1" xfId="1" applyFont="1" applyFill="1" applyBorder="1" applyAlignment="1">
      <alignment horizontal="center" vertical="center" wrapText="1"/>
    </xf>
    <xf numFmtId="0" fontId="4" fillId="0" borderId="0" xfId="63" applyAlignment="1">
      <alignment horizontal="center" vertical="center"/>
    </xf>
    <xf numFmtId="49" fontId="35" fillId="0" borderId="1" xfId="0" applyNumberFormat="1" applyFont="1" applyBorder="1" applyAlignment="1">
      <alignment horizontal="right" vertical="top" wrapText="1" readingOrder="2"/>
    </xf>
    <xf numFmtId="0" fontId="19" fillId="0" borderId="1" xfId="1" applyFont="1" applyBorder="1" applyAlignment="1">
      <alignment vertical="center" wrapText="1"/>
    </xf>
    <xf numFmtId="0" fontId="19" fillId="2" borderId="1" xfId="1" applyFont="1" applyFill="1" applyBorder="1" applyAlignment="1">
      <alignment horizontal="center" vertical="center"/>
    </xf>
    <xf numFmtId="14" fontId="19" fillId="2" borderId="1" xfId="1" applyNumberFormat="1" applyFont="1" applyFill="1" applyBorder="1" applyAlignment="1">
      <alignment horizontal="center" vertical="center" wrapText="1"/>
    </xf>
    <xf numFmtId="14" fontId="19" fillId="2" borderId="1" xfId="1" applyNumberFormat="1" applyFont="1" applyFill="1" applyBorder="1" applyAlignment="1">
      <alignment horizontal="center" vertical="top" wrapText="1"/>
    </xf>
    <xf numFmtId="0" fontId="19" fillId="2" borderId="1" xfId="0" applyFont="1" applyFill="1" applyBorder="1" applyAlignment="1">
      <alignment horizontal="center" vertical="center" wrapText="1"/>
    </xf>
    <xf numFmtId="0" fontId="19" fillId="2" borderId="1" xfId="0" applyFont="1" applyFill="1" applyBorder="1" applyAlignment="1">
      <alignment horizontal="center" vertical="top" wrapText="1"/>
    </xf>
    <xf numFmtId="0" fontId="20" fillId="2"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19" fillId="0" borderId="1" xfId="0" applyFont="1" applyBorder="1" applyAlignment="1">
      <alignment horizontal="right" vertical="top" wrapText="1" readingOrder="2"/>
    </xf>
    <xf numFmtId="0" fontId="19" fillId="0" borderId="1" xfId="0" applyFont="1" applyBorder="1" applyAlignment="1">
      <alignment horizontal="right" vertical="center" wrapText="1" readingOrder="2"/>
    </xf>
    <xf numFmtId="0" fontId="20" fillId="2" borderId="17" xfId="0" applyFont="1" applyFill="1" applyBorder="1" applyAlignment="1">
      <alignment horizontal="center" vertical="center"/>
    </xf>
    <xf numFmtId="0" fontId="19" fillId="0" borderId="1" xfId="58" applyFont="1" applyBorder="1" applyAlignment="1">
      <alignment horizontal="center" vertical="center" wrapText="1" readingOrder="2"/>
    </xf>
    <xf numFmtId="0" fontId="27" fillId="2" borderId="1" xfId="1" applyFont="1" applyFill="1" applyBorder="1" applyAlignment="1">
      <alignment horizontal="center" vertical="center" wrapText="1" readingOrder="2"/>
    </xf>
    <xf numFmtId="0" fontId="27" fillId="2" borderId="1" xfId="0" applyFont="1" applyFill="1" applyBorder="1" applyAlignment="1">
      <alignment horizontal="center" vertical="center" wrapText="1" readingOrder="2"/>
    </xf>
    <xf numFmtId="0" fontId="36" fillId="2" borderId="1" xfId="1" applyFont="1" applyFill="1" applyBorder="1" applyAlignment="1">
      <alignment horizontal="center" vertical="center" wrapText="1"/>
    </xf>
    <xf numFmtId="0" fontId="27" fillId="0" borderId="1" xfId="0" applyFont="1" applyBorder="1" applyAlignment="1">
      <alignment horizontal="center" vertical="center" wrapText="1" readingOrder="2"/>
    </xf>
    <xf numFmtId="0" fontId="27" fillId="0" borderId="1" xfId="1" applyFont="1" applyBorder="1" applyAlignment="1">
      <alignment horizontal="center" vertical="center" wrapText="1" readingOrder="2"/>
    </xf>
    <xf numFmtId="0" fontId="8" fillId="0" borderId="22" xfId="1" applyFont="1" applyBorder="1" applyAlignment="1">
      <alignment horizontal="center" vertical="center" wrapText="1" readingOrder="2"/>
    </xf>
    <xf numFmtId="0" fontId="8" fillId="0" borderId="27" xfId="1" applyFont="1" applyBorder="1" applyAlignment="1">
      <alignment horizontal="center" vertical="center" wrapText="1" readingOrder="2"/>
    </xf>
    <xf numFmtId="0" fontId="0" fillId="0" borderId="1" xfId="0" applyBorder="1"/>
    <xf numFmtId="0" fontId="0" fillId="0" borderId="17" xfId="0" applyBorder="1"/>
    <xf numFmtId="0" fontId="11" fillId="0" borderId="1" xfId="1" applyFont="1" applyBorder="1"/>
    <xf numFmtId="0" fontId="11" fillId="0" borderId="17" xfId="1" applyFont="1" applyBorder="1"/>
    <xf numFmtId="0" fontId="8" fillId="2" borderId="3" xfId="1" applyFont="1" applyFill="1" applyBorder="1" applyAlignment="1">
      <alignment horizontal="center" vertical="center" wrapText="1" readingOrder="2"/>
    </xf>
    <xf numFmtId="0" fontId="11" fillId="2" borderId="23" xfId="1" applyFont="1" applyFill="1" applyBorder="1"/>
    <xf numFmtId="0" fontId="19" fillId="2" borderId="1" xfId="1" applyFont="1" applyFill="1" applyBorder="1" applyAlignment="1">
      <alignment vertical="center" wrapText="1"/>
    </xf>
    <xf numFmtId="0" fontId="12" fillId="2" borderId="1" xfId="1" applyFont="1" applyFill="1" applyBorder="1"/>
    <xf numFmtId="0" fontId="20" fillId="0" borderId="1" xfId="1" applyFont="1" applyBorder="1" applyAlignment="1">
      <alignment horizontal="center" vertical="center"/>
    </xf>
    <xf numFmtId="0" fontId="19" fillId="0" borderId="1" xfId="1" applyFont="1" applyBorder="1" applyAlignment="1">
      <alignment horizontal="center" vertical="top" wrapText="1"/>
    </xf>
    <xf numFmtId="0" fontId="19" fillId="0" borderId="1" xfId="58" applyFont="1" applyBorder="1" applyAlignment="1">
      <alignment horizontal="center" vertical="center" wrapText="1"/>
    </xf>
    <xf numFmtId="0" fontId="19" fillId="2" borderId="1" xfId="1" applyFont="1" applyFill="1" applyBorder="1" applyAlignment="1">
      <alignment horizontal="center" vertical="top" wrapText="1"/>
    </xf>
    <xf numFmtId="0" fontId="19" fillId="2" borderId="1" xfId="0" applyFont="1" applyFill="1" applyBorder="1" applyAlignment="1">
      <alignment horizontal="right" vertical="center" wrapText="1" readingOrder="2"/>
    </xf>
    <xf numFmtId="0" fontId="19" fillId="2" borderId="1" xfId="58" applyFont="1" applyFill="1" applyBorder="1" applyAlignment="1">
      <alignment horizontal="center" vertical="center" wrapText="1"/>
    </xf>
    <xf numFmtId="0" fontId="19" fillId="2" borderId="1" xfId="0" applyFont="1" applyFill="1" applyBorder="1" applyAlignment="1">
      <alignment horizontal="center" vertical="top" wrapText="1" readingOrder="2"/>
    </xf>
    <xf numFmtId="0" fontId="26" fillId="2" borderId="1" xfId="1" applyFont="1" applyFill="1" applyBorder="1" applyAlignment="1">
      <alignment horizontal="center" vertical="center"/>
    </xf>
    <xf numFmtId="0" fontId="19" fillId="0" borderId="1" xfId="0" applyFont="1" applyBorder="1"/>
    <xf numFmtId="0" fontId="19"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1" applyFont="1" applyBorder="1" applyAlignment="1">
      <alignment vertical="center" wrapText="1"/>
    </xf>
    <xf numFmtId="14" fontId="12" fillId="0" borderId="1" xfId="1" applyNumberFormat="1" applyFont="1" applyBorder="1" applyAlignment="1">
      <alignment horizontal="center" vertical="center"/>
    </xf>
    <xf numFmtId="0" fontId="12" fillId="0" borderId="1" xfId="1" applyFont="1" applyBorder="1" applyAlignment="1">
      <alignment vertical="center" wrapText="1" readingOrder="2"/>
    </xf>
    <xf numFmtId="0" fontId="36" fillId="0" borderId="1" xfId="0" applyFont="1" applyBorder="1" applyAlignment="1">
      <alignment horizontal="center" vertical="center" wrapText="1" readingOrder="2"/>
    </xf>
    <xf numFmtId="0" fontId="20" fillId="0" borderId="1" xfId="58" applyFont="1" applyBorder="1" applyAlignment="1">
      <alignment vertical="center" wrapText="1"/>
    </xf>
    <xf numFmtId="0" fontId="12" fillId="0" borderId="1" xfId="58" applyFont="1" applyBorder="1"/>
    <xf numFmtId="0" fontId="12" fillId="0" borderId="1" xfId="58" applyFont="1" applyBorder="1" applyAlignment="1">
      <alignment horizontal="center" vertical="center"/>
    </xf>
    <xf numFmtId="0" fontId="12" fillId="0" borderId="1" xfId="0" applyFont="1" applyBorder="1" applyAlignment="1">
      <alignment vertical="center"/>
    </xf>
    <xf numFmtId="0" fontId="12" fillId="2" borderId="1" xfId="0" applyFont="1" applyFill="1" applyBorder="1" applyAlignment="1">
      <alignment horizontal="center" vertical="center"/>
    </xf>
    <xf numFmtId="0" fontId="12" fillId="0" borderId="44" xfId="1" applyFont="1" applyBorder="1" applyAlignment="1">
      <alignment horizontal="center" vertical="center" wrapText="1" readingOrder="2"/>
    </xf>
    <xf numFmtId="0" fontId="12" fillId="0" borderId="39" xfId="1" applyFont="1" applyBorder="1" applyAlignment="1">
      <alignment horizontal="center" vertical="center" wrapText="1" readingOrder="2"/>
    </xf>
    <xf numFmtId="0" fontId="12" fillId="2" borderId="16" xfId="1" applyFont="1" applyFill="1" applyBorder="1" applyAlignment="1">
      <alignment horizontal="center" vertical="center" wrapText="1" readingOrder="2"/>
    </xf>
    <xf numFmtId="0" fontId="12" fillId="0" borderId="16" xfId="1" applyFont="1" applyBorder="1" applyAlignment="1">
      <alignment horizontal="center" vertical="center" wrapText="1" readingOrder="2"/>
    </xf>
    <xf numFmtId="0" fontId="20" fillId="0" borderId="17" xfId="1" applyFont="1" applyBorder="1" applyAlignment="1">
      <alignment horizontal="center" vertical="center"/>
    </xf>
    <xf numFmtId="0" fontId="12" fillId="0" borderId="16" xfId="0" applyFont="1" applyBorder="1" applyAlignment="1">
      <alignment horizontal="center" vertical="center" wrapText="1" readingOrder="2"/>
    </xf>
    <xf numFmtId="0" fontId="26" fillId="2" borderId="17" xfId="1" applyFont="1" applyFill="1" applyBorder="1" applyAlignment="1">
      <alignment horizontal="center" vertical="center"/>
    </xf>
    <xf numFmtId="0" fontId="19" fillId="0" borderId="17" xfId="0" applyFont="1" applyBorder="1" applyAlignment="1">
      <alignment horizontal="center" vertical="center"/>
    </xf>
    <xf numFmtId="0" fontId="12" fillId="0" borderId="17" xfId="58" applyFont="1" applyBorder="1" applyAlignment="1">
      <alignment horizontal="center" vertical="center"/>
    </xf>
    <xf numFmtId="0" fontId="12" fillId="2" borderId="17" xfId="0" applyFont="1" applyFill="1" applyBorder="1" applyAlignment="1">
      <alignment horizontal="center" vertical="center"/>
    </xf>
    <xf numFmtId="0" fontId="20" fillId="2" borderId="9" xfId="0" applyFont="1" applyFill="1" applyBorder="1" applyAlignment="1">
      <alignment horizontal="center" vertical="center"/>
    </xf>
    <xf numFmtId="0" fontId="12" fillId="2" borderId="9" xfId="0" applyFont="1" applyFill="1" applyBorder="1" applyAlignment="1">
      <alignment horizontal="center" vertical="center"/>
    </xf>
    <xf numFmtId="0" fontId="12" fillId="2" borderId="28" xfId="0" applyFont="1" applyFill="1" applyBorder="1" applyAlignment="1">
      <alignment horizontal="center" vertical="center"/>
    </xf>
    <xf numFmtId="0" fontId="36" fillId="0" borderId="1" xfId="1" applyFont="1" applyBorder="1" applyAlignment="1">
      <alignment horizontal="center" vertical="center" wrapText="1"/>
    </xf>
    <xf numFmtId="0" fontId="36" fillId="0" borderId="9" xfId="0" applyFont="1" applyBorder="1" applyAlignment="1">
      <alignment horizontal="center" vertical="center" wrapText="1" readingOrder="2"/>
    </xf>
    <xf numFmtId="0" fontId="12" fillId="0" borderId="1" xfId="0" applyFont="1" applyBorder="1" applyAlignment="1">
      <alignment horizontal="center" vertical="top" wrapText="1"/>
    </xf>
    <xf numFmtId="49" fontId="35" fillId="0" borderId="1" xfId="0" applyNumberFormat="1" applyFont="1" applyBorder="1" applyAlignment="1">
      <alignment horizontal="right" vertical="center" wrapText="1" readingOrder="2"/>
    </xf>
    <xf numFmtId="0" fontId="12" fillId="0" borderId="22" xfId="1" applyFont="1" applyBorder="1" applyAlignment="1">
      <alignment horizontal="center" vertical="center" wrapText="1" readingOrder="2"/>
    </xf>
    <xf numFmtId="0" fontId="12" fillId="5" borderId="20" xfId="24" applyFont="1" applyFill="1" applyBorder="1" applyAlignment="1">
      <alignment horizontal="center" vertical="center" wrapText="1"/>
    </xf>
    <xf numFmtId="0" fontId="12" fillId="5" borderId="1" xfId="0" applyFont="1" applyFill="1" applyBorder="1" applyAlignment="1">
      <alignment horizontal="center" vertical="center" wrapText="1" readingOrder="2"/>
    </xf>
    <xf numFmtId="0" fontId="20" fillId="0" borderId="1" xfId="1" applyFont="1" applyBorder="1" applyAlignment="1">
      <alignment horizontal="center" vertical="center" wrapText="1" readingOrder="2"/>
    </xf>
    <xf numFmtId="0" fontId="23" fillId="0" borderId="33" xfId="1" applyFont="1" applyBorder="1" applyAlignment="1">
      <alignment horizontal="left" vertical="center" readingOrder="2"/>
    </xf>
    <xf numFmtId="0" fontId="23" fillId="0" borderId="31" xfId="1" applyFont="1" applyBorder="1" applyAlignment="1">
      <alignment horizontal="left" vertical="center" readingOrder="2"/>
    </xf>
    <xf numFmtId="0" fontId="23" fillId="0" borderId="34" xfId="1" applyFont="1" applyBorder="1" applyAlignment="1">
      <alignment horizontal="left" vertical="center" readingOrder="2"/>
    </xf>
    <xf numFmtId="0" fontId="40" fillId="5" borderId="44" xfId="0" applyFont="1" applyFill="1" applyBorder="1" applyAlignment="1">
      <alignment horizontal="center" vertical="center" wrapText="1"/>
    </xf>
    <xf numFmtId="0" fontId="40" fillId="5" borderId="39" xfId="0" applyFont="1" applyFill="1" applyBorder="1" applyAlignment="1">
      <alignment horizontal="center" vertical="center" wrapText="1"/>
    </xf>
    <xf numFmtId="0" fontId="40" fillId="5" borderId="45" xfId="0" applyFont="1" applyFill="1" applyBorder="1" applyAlignment="1">
      <alignment horizontal="center" vertical="center" wrapText="1"/>
    </xf>
    <xf numFmtId="0" fontId="40" fillId="5" borderId="16" xfId="0" applyFont="1" applyFill="1" applyBorder="1" applyAlignment="1">
      <alignment horizontal="center" vertical="center" wrapText="1"/>
    </xf>
    <xf numFmtId="0" fontId="40" fillId="5" borderId="1" xfId="0" applyFont="1" applyFill="1" applyBorder="1" applyAlignment="1">
      <alignment horizontal="center" vertical="center" wrapText="1"/>
    </xf>
    <xf numFmtId="0" fontId="40" fillId="5" borderId="17" xfId="0" applyFont="1" applyFill="1" applyBorder="1" applyAlignment="1">
      <alignment horizontal="center" vertical="center" wrapText="1"/>
    </xf>
    <xf numFmtId="0" fontId="40" fillId="6" borderId="19" xfId="0" applyFont="1" applyFill="1" applyBorder="1" applyAlignment="1">
      <alignment horizontal="center" vertical="center" wrapText="1"/>
    </xf>
    <xf numFmtId="0" fontId="40" fillId="6" borderId="2" xfId="0" applyFont="1" applyFill="1" applyBorder="1" applyAlignment="1">
      <alignment horizontal="center" vertical="center" wrapText="1"/>
    </xf>
    <xf numFmtId="0" fontId="40" fillId="6" borderId="26" xfId="0" applyFont="1" applyFill="1" applyBorder="1" applyAlignment="1">
      <alignment horizontal="center" vertical="center" wrapText="1"/>
    </xf>
    <xf numFmtId="0" fontId="31" fillId="0" borderId="24" xfId="62" applyFont="1" applyBorder="1" applyAlignment="1">
      <alignment horizontal="right" vertical="center" wrapText="1" readingOrder="2"/>
    </xf>
    <xf numFmtId="0" fontId="31" fillId="0" borderId="2" xfId="62" applyFont="1" applyBorder="1" applyAlignment="1">
      <alignment horizontal="right" vertical="center" wrapText="1" readingOrder="2"/>
    </xf>
    <xf numFmtId="0" fontId="31" fillId="0" borderId="26" xfId="62" applyFont="1" applyBorder="1" applyAlignment="1">
      <alignment horizontal="right" vertical="center" wrapText="1" readingOrder="2"/>
    </xf>
    <xf numFmtId="0" fontId="29" fillId="0" borderId="24" xfId="62" applyFont="1" applyBorder="1" applyAlignment="1">
      <alignment horizontal="right" vertical="center" wrapText="1" readingOrder="2"/>
    </xf>
    <xf numFmtId="0" fontId="29" fillId="0" borderId="2" xfId="62" applyFont="1" applyBorder="1" applyAlignment="1">
      <alignment horizontal="right" vertical="center" wrapText="1" readingOrder="2"/>
    </xf>
    <xf numFmtId="0" fontId="29" fillId="0" borderId="26" xfId="62" applyFont="1" applyBorder="1" applyAlignment="1">
      <alignment horizontal="right" vertical="center" wrapText="1" readingOrder="2"/>
    </xf>
    <xf numFmtId="0" fontId="31" fillId="0" borderId="19" xfId="62" applyFont="1" applyBorder="1" applyAlignment="1">
      <alignment horizontal="right" vertical="center" wrapText="1" readingOrder="2"/>
    </xf>
    <xf numFmtId="0" fontId="31" fillId="0" borderId="23" xfId="62" applyFont="1" applyBorder="1" applyAlignment="1">
      <alignment horizontal="right" vertical="center" wrapText="1" readingOrder="2"/>
    </xf>
    <xf numFmtId="0" fontId="31" fillId="0" borderId="1" xfId="62" applyFont="1" applyBorder="1" applyAlignment="1">
      <alignment horizontal="right" vertical="center" wrapText="1" readingOrder="2"/>
    </xf>
    <xf numFmtId="0" fontId="31" fillId="0" borderId="6" xfId="62" applyFont="1" applyBorder="1" applyAlignment="1">
      <alignment horizontal="right" vertical="center" wrapText="1" readingOrder="2"/>
    </xf>
    <xf numFmtId="0" fontId="31" fillId="0" borderId="25" xfId="62" applyFont="1" applyBorder="1" applyAlignment="1">
      <alignment horizontal="right" vertical="center" wrapText="1" readingOrder="2"/>
    </xf>
    <xf numFmtId="0" fontId="31" fillId="0" borderId="4" xfId="62" applyFont="1" applyBorder="1" applyAlignment="1">
      <alignment horizontal="right" vertical="center" wrapText="1" readingOrder="2"/>
    </xf>
    <xf numFmtId="0" fontId="31" fillId="0" borderId="3" xfId="62" applyFont="1" applyBorder="1" applyAlignment="1">
      <alignment horizontal="right" vertical="center" wrapText="1" readingOrder="2"/>
    </xf>
    <xf numFmtId="49" fontId="31" fillId="0" borderId="16" xfId="62" applyNumberFormat="1" applyFont="1" applyBorder="1" applyAlignment="1">
      <alignment horizontal="right" vertical="center" wrapText="1" readingOrder="2"/>
    </xf>
    <xf numFmtId="49" fontId="31" fillId="0" borderId="1" xfId="62" applyNumberFormat="1" applyFont="1" applyBorder="1" applyAlignment="1">
      <alignment horizontal="right" vertical="center" wrapText="1" readingOrder="2"/>
    </xf>
    <xf numFmtId="0" fontId="18" fillId="0" borderId="12" xfId="62" applyFont="1" applyBorder="1" applyAlignment="1">
      <alignment horizontal="center" vertical="center" wrapText="1"/>
    </xf>
    <xf numFmtId="0" fontId="18" fillId="0" borderId="10" xfId="62" applyFont="1" applyBorder="1" applyAlignment="1">
      <alignment horizontal="center" vertical="center" wrapText="1"/>
    </xf>
    <xf numFmtId="0" fontId="18" fillId="0" borderId="35" xfId="62" applyFont="1" applyBorder="1" applyAlignment="1">
      <alignment horizontal="center" vertical="center" wrapText="1"/>
    </xf>
    <xf numFmtId="0" fontId="18" fillId="0" borderId="13" xfId="62" applyFont="1" applyBorder="1" applyAlignment="1">
      <alignment horizontal="center" vertical="center" wrapText="1"/>
    </xf>
    <xf numFmtId="0" fontId="18" fillId="0" borderId="0" xfId="62" applyFont="1" applyAlignment="1">
      <alignment horizontal="center" vertical="center" wrapText="1"/>
    </xf>
    <xf numFmtId="0" fontId="18" fillId="0" borderId="8" xfId="62" applyFont="1" applyBorder="1" applyAlignment="1">
      <alignment horizontal="center" vertical="center" wrapText="1"/>
    </xf>
    <xf numFmtId="0" fontId="18" fillId="0" borderId="36" xfId="62" applyFont="1" applyBorder="1" applyAlignment="1">
      <alignment horizontal="center" vertical="center" wrapText="1"/>
    </xf>
    <xf numFmtId="0" fontId="18" fillId="0" borderId="37" xfId="62" applyFont="1" applyBorder="1" applyAlignment="1">
      <alignment horizontal="center" vertical="center" wrapText="1"/>
    </xf>
    <xf numFmtId="0" fontId="18" fillId="0" borderId="38" xfId="62" applyFont="1" applyBorder="1" applyAlignment="1">
      <alignment horizontal="center" vertical="center" wrapText="1"/>
    </xf>
    <xf numFmtId="0" fontId="28" fillId="0" borderId="11" xfId="62" applyFont="1" applyBorder="1" applyAlignment="1">
      <alignment horizontal="center" vertical="center" wrapText="1" readingOrder="2"/>
    </xf>
    <xf numFmtId="0" fontId="28" fillId="0" borderId="10" xfId="62" applyFont="1" applyBorder="1" applyAlignment="1">
      <alignment horizontal="center" vertical="center" wrapText="1" readingOrder="2"/>
    </xf>
    <xf numFmtId="0" fontId="28" fillId="0" borderId="5" xfId="62" applyFont="1" applyBorder="1" applyAlignment="1">
      <alignment horizontal="center" vertical="center" wrapText="1" readingOrder="2"/>
    </xf>
    <xf numFmtId="0" fontId="28" fillId="0" borderId="4" xfId="62" applyFont="1" applyBorder="1" applyAlignment="1">
      <alignment horizontal="center" vertical="center" wrapText="1" readingOrder="2"/>
    </xf>
    <xf numFmtId="0" fontId="29" fillId="5" borderId="24" xfId="62" applyFont="1" applyFill="1" applyBorder="1" applyAlignment="1">
      <alignment horizontal="right" vertical="center" wrapText="1" readingOrder="2"/>
    </xf>
    <xf numFmtId="0" fontId="29" fillId="5" borderId="2" xfId="62" applyFont="1" applyFill="1" applyBorder="1" applyAlignment="1">
      <alignment horizontal="right" vertical="center" wrapText="1" readingOrder="2"/>
    </xf>
    <xf numFmtId="0" fontId="29" fillId="5" borderId="26" xfId="62" applyFont="1" applyFill="1" applyBorder="1" applyAlignment="1">
      <alignment horizontal="right" vertical="center" wrapText="1" readingOrder="2"/>
    </xf>
    <xf numFmtId="0" fontId="30" fillId="0" borderId="33" xfId="62" applyFont="1" applyBorder="1" applyAlignment="1">
      <alignment horizontal="center" vertical="center" wrapText="1" readingOrder="2"/>
    </xf>
    <xf numFmtId="0" fontId="30" fillId="0" borderId="31" xfId="62" applyFont="1" applyBorder="1" applyAlignment="1">
      <alignment horizontal="center" vertical="center" wrapText="1" readingOrder="2"/>
    </xf>
    <xf numFmtId="49" fontId="31" fillId="0" borderId="14" xfId="62" applyNumberFormat="1" applyFont="1" applyBorder="1" applyAlignment="1">
      <alignment horizontal="right" vertical="center" wrapText="1" readingOrder="2"/>
    </xf>
    <xf numFmtId="49" fontId="31" fillId="0" borderId="4" xfId="62" applyNumberFormat="1" applyFont="1" applyBorder="1" applyAlignment="1">
      <alignment horizontal="right" vertical="center" wrapText="1" readingOrder="2"/>
    </xf>
    <xf numFmtId="49" fontId="31" fillId="0" borderId="3" xfId="62" applyNumberFormat="1" applyFont="1" applyBorder="1" applyAlignment="1">
      <alignment horizontal="right" vertical="center" wrapText="1" readingOrder="2"/>
    </xf>
    <xf numFmtId="49" fontId="31" fillId="0" borderId="39" xfId="62" applyNumberFormat="1" applyFont="1" applyBorder="1" applyAlignment="1">
      <alignment horizontal="right" vertical="center" wrapText="1" readingOrder="2"/>
    </xf>
    <xf numFmtId="49" fontId="31" fillId="0" borderId="40" xfId="62" applyNumberFormat="1" applyFont="1" applyBorder="1" applyAlignment="1">
      <alignment horizontal="right" vertical="center" wrapText="1" readingOrder="2"/>
    </xf>
    <xf numFmtId="49" fontId="31" fillId="0" borderId="41" xfId="62" applyNumberFormat="1" applyFont="1" applyBorder="1" applyAlignment="1">
      <alignment horizontal="right" vertical="center" wrapText="1" readingOrder="2"/>
    </xf>
    <xf numFmtId="0" fontId="31" fillId="5" borderId="5" xfId="62" applyFont="1" applyFill="1" applyBorder="1" applyAlignment="1">
      <alignment horizontal="right" vertical="center" wrapText="1" readingOrder="2"/>
    </xf>
    <xf numFmtId="0" fontId="31" fillId="5" borderId="4" xfId="62" applyFont="1" applyFill="1" applyBorder="1" applyAlignment="1">
      <alignment horizontal="right" vertical="center" wrapText="1" readingOrder="2"/>
    </xf>
    <xf numFmtId="0" fontId="31" fillId="5" borderId="3" xfId="62" applyFont="1" applyFill="1" applyBorder="1" applyAlignment="1">
      <alignment horizontal="right" vertical="center" wrapText="1" readingOrder="2"/>
    </xf>
    <xf numFmtId="0" fontId="12" fillId="0" borderId="16" xfId="0" applyFont="1" applyBorder="1" applyAlignment="1">
      <alignment horizontal="center" vertical="center" wrapText="1" readingOrder="2"/>
    </xf>
    <xf numFmtId="0" fontId="12" fillId="2" borderId="1" xfId="0" applyFont="1" applyFill="1" applyBorder="1" applyAlignment="1">
      <alignment horizontal="center" vertical="center" wrapText="1" readingOrder="2"/>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readingOrder="2"/>
    </xf>
    <xf numFmtId="0" fontId="12" fillId="0" borderId="1" xfId="1" applyFont="1" applyBorder="1" applyAlignment="1">
      <alignment horizontal="center" vertical="center" wrapText="1"/>
    </xf>
    <xf numFmtId="0" fontId="15" fillId="4" borderId="16" xfId="0" applyFont="1" applyFill="1" applyBorder="1" applyAlignment="1">
      <alignment horizontal="center" vertical="center" wrapText="1"/>
    </xf>
    <xf numFmtId="0" fontId="15" fillId="4" borderId="21" xfId="0" applyFont="1" applyFill="1" applyBorder="1" applyAlignment="1">
      <alignment horizontal="center" vertical="center" wrapText="1"/>
    </xf>
    <xf numFmtId="0" fontId="12" fillId="0" borderId="16" xfId="1" applyFont="1" applyBorder="1" applyAlignment="1">
      <alignment horizontal="center" vertical="center" wrapText="1" readingOrder="2"/>
    </xf>
    <xf numFmtId="0" fontId="12" fillId="5" borderId="1" xfId="1" applyFont="1" applyFill="1" applyBorder="1" applyAlignment="1">
      <alignment horizontal="center" vertical="center" wrapText="1"/>
    </xf>
    <xf numFmtId="0" fontId="12" fillId="2" borderId="16" xfId="0" applyFont="1" applyFill="1" applyBorder="1" applyAlignment="1">
      <alignment horizontal="center" vertical="center" wrapText="1" readingOrder="2"/>
    </xf>
    <xf numFmtId="0" fontId="12" fillId="2" borderId="16" xfId="1" applyFont="1" applyFill="1" applyBorder="1" applyAlignment="1">
      <alignment horizontal="center" vertical="center" wrapText="1" readingOrder="2"/>
    </xf>
    <xf numFmtId="0" fontId="15" fillId="4" borderId="1" xfId="0" applyFont="1" applyFill="1" applyBorder="1" applyAlignment="1">
      <alignment horizontal="center" vertical="center" wrapText="1"/>
    </xf>
    <xf numFmtId="0" fontId="15" fillId="4" borderId="9" xfId="0" applyFont="1" applyFill="1" applyBorder="1" applyAlignment="1">
      <alignment horizontal="center" vertical="center"/>
    </xf>
    <xf numFmtId="0" fontId="12" fillId="0" borderId="1" xfId="1" applyFont="1" applyBorder="1" applyAlignment="1">
      <alignment horizontal="center" vertical="center" wrapText="1" readingOrder="2"/>
    </xf>
    <xf numFmtId="0" fontId="23" fillId="0" borderId="18" xfId="1" applyFont="1" applyBorder="1" applyAlignment="1">
      <alignment horizontal="right" vertical="center" wrapText="1"/>
    </xf>
    <xf numFmtId="0" fontId="23" fillId="0" borderId="6" xfId="1" applyFont="1" applyBorder="1" applyAlignment="1">
      <alignment horizontal="right" vertical="center" wrapText="1"/>
    </xf>
    <xf numFmtId="0" fontId="23" fillId="0" borderId="25" xfId="1" applyFont="1" applyBorder="1" applyAlignment="1">
      <alignment horizontal="right" vertical="center" wrapText="1"/>
    </xf>
    <xf numFmtId="0" fontId="23" fillId="0" borderId="14" xfId="1" applyFont="1" applyBorder="1" applyAlignment="1">
      <alignment horizontal="right" vertical="center" wrapText="1"/>
    </xf>
    <xf numFmtId="0" fontId="23" fillId="0" borderId="4" xfId="1" applyFont="1" applyBorder="1" applyAlignment="1">
      <alignment horizontal="right" vertical="center" wrapText="1"/>
    </xf>
    <xf numFmtId="0" fontId="23" fillId="0" borderId="3" xfId="1" applyFont="1" applyBorder="1" applyAlignment="1">
      <alignment horizontal="right" vertical="center" wrapText="1"/>
    </xf>
    <xf numFmtId="0" fontId="23" fillId="0" borderId="33" xfId="1" applyFont="1" applyBorder="1" applyAlignment="1">
      <alignment horizontal="center" vertical="center" readingOrder="2"/>
    </xf>
    <xf numFmtId="0" fontId="23" fillId="0" borderId="31" xfId="1" applyFont="1" applyBorder="1" applyAlignment="1">
      <alignment horizontal="center" vertical="center" readingOrder="2"/>
    </xf>
    <xf numFmtId="0" fontId="23" fillId="0" borderId="32" xfId="1" applyFont="1" applyBorder="1" applyAlignment="1">
      <alignment horizontal="center" vertical="center" readingOrder="2"/>
    </xf>
    <xf numFmtId="0" fontId="23" fillId="0" borderId="13" xfId="1" applyFont="1" applyBorder="1" applyAlignment="1">
      <alignment horizontal="right" vertical="top"/>
    </xf>
    <xf numFmtId="0" fontId="23" fillId="0" borderId="0" xfId="1" applyFont="1" applyAlignment="1">
      <alignment horizontal="right" vertical="top"/>
    </xf>
    <xf numFmtId="0" fontId="23" fillId="0" borderId="43" xfId="1" applyFont="1" applyBorder="1" applyAlignment="1">
      <alignment horizontal="right" vertical="top"/>
    </xf>
    <xf numFmtId="0" fontId="23" fillId="0" borderId="14" xfId="1" applyFont="1" applyBorder="1" applyAlignment="1">
      <alignment horizontal="right" vertical="top"/>
    </xf>
    <xf numFmtId="0" fontId="23" fillId="0" borderId="4" xfId="1" applyFont="1" applyBorder="1" applyAlignment="1">
      <alignment horizontal="right" vertical="top"/>
    </xf>
    <xf numFmtId="0" fontId="23" fillId="0" borderId="15" xfId="1" applyFont="1" applyBorder="1" applyAlignment="1">
      <alignment horizontal="right" vertical="top"/>
    </xf>
    <xf numFmtId="0" fontId="12" fillId="0" borderId="1" xfId="1" applyFont="1" applyBorder="1" applyAlignment="1">
      <alignment horizontal="center" vertical="center" wrapText="1" readingOrder="1"/>
    </xf>
    <xf numFmtId="0" fontId="23" fillId="0" borderId="7" xfId="1" applyFont="1" applyBorder="1" applyAlignment="1">
      <alignment horizontal="right" vertical="center" wrapText="1"/>
    </xf>
    <xf numFmtId="0" fontId="23" fillId="0" borderId="29" xfId="1" applyFont="1" applyBorder="1" applyAlignment="1">
      <alignment horizontal="right" vertical="center" wrapText="1"/>
    </xf>
    <xf numFmtId="0" fontId="23" fillId="0" borderId="5" xfId="1" applyFont="1" applyBorder="1" applyAlignment="1">
      <alignment horizontal="right" vertical="center" wrapText="1"/>
    </xf>
    <xf numFmtId="0" fontId="23" fillId="0" borderId="15" xfId="1" applyFont="1" applyBorder="1" applyAlignment="1">
      <alignment horizontal="right" vertical="center" wrapText="1"/>
    </xf>
    <xf numFmtId="0" fontId="12" fillId="0" borderId="1" xfId="58" applyFont="1" applyBorder="1" applyAlignment="1">
      <alignment horizontal="center" vertical="center" wrapText="1" readingOrder="2"/>
    </xf>
    <xf numFmtId="0" fontId="12" fillId="0" borderId="9" xfId="1" applyFont="1" applyBorder="1" applyAlignment="1">
      <alignment horizontal="center" vertical="center" wrapText="1" readingOrder="2"/>
    </xf>
    <xf numFmtId="0" fontId="12" fillId="0" borderId="22" xfId="1" applyFont="1" applyBorder="1" applyAlignment="1">
      <alignment horizontal="center" vertical="center" wrapText="1" readingOrder="2"/>
    </xf>
    <xf numFmtId="0" fontId="12" fillId="2" borderId="1" xfId="1" applyFont="1" applyFill="1" applyBorder="1" applyAlignment="1">
      <alignment horizontal="center" vertical="center" wrapText="1" readingOrder="2"/>
    </xf>
    <xf numFmtId="0" fontId="19" fillId="0" borderId="39" xfId="0" applyFont="1" applyBorder="1" applyAlignment="1">
      <alignment horizontal="center" vertical="center" wrapText="1"/>
    </xf>
    <xf numFmtId="0" fontId="19" fillId="0" borderId="47" xfId="0" applyFont="1" applyBorder="1" applyAlignment="1">
      <alignment horizontal="center" vertical="center" wrapText="1"/>
    </xf>
    <xf numFmtId="0" fontId="19" fillId="0" borderId="45" xfId="0" applyFont="1" applyBorder="1" applyAlignment="1">
      <alignment horizontal="center" vertical="center" wrapText="1"/>
    </xf>
    <xf numFmtId="0" fontId="19" fillId="0" borderId="48" xfId="0" applyFont="1" applyBorder="1" applyAlignment="1">
      <alignment horizontal="center" vertical="center" wrapText="1"/>
    </xf>
    <xf numFmtId="0" fontId="19" fillId="0" borderId="44" xfId="0" applyFont="1" applyBorder="1" applyAlignment="1">
      <alignment horizontal="center" vertical="center" wrapText="1"/>
    </xf>
    <xf numFmtId="0" fontId="19" fillId="0" borderId="46" xfId="0" applyFont="1" applyBorder="1" applyAlignment="1">
      <alignment horizontal="center" vertical="center" wrapText="1"/>
    </xf>
    <xf numFmtId="0" fontId="15" fillId="4" borderId="20" xfId="0" applyFont="1" applyFill="1" applyBorder="1" applyAlignment="1">
      <alignment horizontal="center" vertical="center"/>
    </xf>
    <xf numFmtId="0" fontId="15" fillId="4" borderId="24" xfId="0" applyFont="1" applyFill="1" applyBorder="1" applyAlignment="1">
      <alignment horizontal="center" vertical="center" wrapText="1"/>
    </xf>
    <xf numFmtId="0" fontId="15" fillId="4" borderId="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2" fillId="0" borderId="39" xfId="1" applyFont="1" applyBorder="1" applyAlignment="1">
      <alignment horizontal="right" vertical="center" wrapText="1" readingOrder="2"/>
    </xf>
    <xf numFmtId="0" fontId="12" fillId="0" borderId="45" xfId="1" applyFont="1" applyBorder="1" applyAlignment="1">
      <alignment horizontal="right" vertical="center" wrapText="1" readingOrder="2"/>
    </xf>
    <xf numFmtId="0" fontId="25" fillId="4" borderId="28" xfId="0" applyFont="1" applyFill="1" applyBorder="1" applyAlignment="1">
      <alignment horizontal="center" vertical="center" wrapText="1"/>
    </xf>
    <xf numFmtId="0" fontId="25" fillId="4" borderId="42" xfId="0" applyFont="1" applyFill="1" applyBorder="1" applyAlignment="1">
      <alignment horizontal="center" vertical="center" wrapText="1"/>
    </xf>
    <xf numFmtId="0" fontId="15" fillId="4" borderId="9" xfId="0" applyFont="1" applyFill="1" applyBorder="1" applyAlignment="1">
      <alignment horizontal="center" vertical="center" wrapText="1"/>
    </xf>
    <xf numFmtId="0" fontId="15" fillId="4" borderId="20" xfId="0" applyFont="1" applyFill="1" applyBorder="1" applyAlignment="1">
      <alignment horizontal="center" vertical="center" wrapText="1"/>
    </xf>
    <xf numFmtId="0" fontId="15" fillId="4" borderId="1" xfId="0" applyFont="1" applyFill="1" applyBorder="1" applyAlignment="1">
      <alignment horizontal="center" vertical="center"/>
    </xf>
    <xf numFmtId="0" fontId="25" fillId="4" borderId="9" xfId="0" applyFont="1" applyFill="1" applyBorder="1" applyAlignment="1">
      <alignment horizontal="center" vertical="center" wrapText="1"/>
    </xf>
    <xf numFmtId="0" fontId="25" fillId="4" borderId="20" xfId="0" applyFont="1" applyFill="1" applyBorder="1" applyAlignment="1">
      <alignment horizontal="center" vertical="center"/>
    </xf>
    <xf numFmtId="0" fontId="25" fillId="4" borderId="9" xfId="0" applyFont="1" applyFill="1" applyBorder="1" applyAlignment="1">
      <alignment horizontal="center" vertical="center"/>
    </xf>
    <xf numFmtId="0" fontId="1" fillId="0" borderId="9" xfId="0" applyFont="1" applyBorder="1" applyAlignment="1">
      <alignment horizontal="center" vertical="center"/>
    </xf>
    <xf numFmtId="0" fontId="1" fillId="0" borderId="20" xfId="0" applyFont="1" applyBorder="1" applyAlignment="1">
      <alignment horizontal="center" vertical="center"/>
    </xf>
    <xf numFmtId="0" fontId="1" fillId="0" borderId="22" xfId="0" applyFont="1" applyBorder="1" applyAlignment="1">
      <alignment horizontal="center" vertical="center"/>
    </xf>
    <xf numFmtId="0" fontId="13" fillId="0" borderId="9" xfId="0" applyFont="1" applyBorder="1" applyAlignment="1">
      <alignment horizontal="center" vertical="center"/>
    </xf>
    <xf numFmtId="0" fontId="13" fillId="0" borderId="20" xfId="0" applyFont="1" applyBorder="1" applyAlignment="1">
      <alignment horizontal="center" vertical="center"/>
    </xf>
    <xf numFmtId="0" fontId="13" fillId="0" borderId="22" xfId="0" applyFont="1" applyBorder="1" applyAlignment="1">
      <alignment horizontal="center" vertical="center"/>
    </xf>
  </cellXfs>
  <cellStyles count="64">
    <cellStyle name="Hyperlink 2" xfId="3" xr:uid="{00000000-0005-0000-0000-000000000000}"/>
    <cellStyle name="Hyperlink 2 2" xfId="29" xr:uid="{00000000-0005-0000-0000-000001000000}"/>
    <cellStyle name="Normal" xfId="0" builtinId="0"/>
    <cellStyle name="Normal 10" xfId="20" xr:uid="{00000000-0005-0000-0000-000003000000}"/>
    <cellStyle name="Normal 10 2" xfId="45" xr:uid="{00000000-0005-0000-0000-000004000000}"/>
    <cellStyle name="Normal 10 3" xfId="56" xr:uid="{00000000-0005-0000-0000-000005000000}"/>
    <cellStyle name="Normal 11" xfId="21" xr:uid="{00000000-0005-0000-0000-000006000000}"/>
    <cellStyle name="Normal 11 2" xfId="24" xr:uid="{00000000-0005-0000-0000-000007000000}"/>
    <cellStyle name="Normal 11 2 2" xfId="49" xr:uid="{00000000-0005-0000-0000-000008000000}"/>
    <cellStyle name="Normal 11 3" xfId="46" xr:uid="{00000000-0005-0000-0000-000009000000}"/>
    <cellStyle name="Normal 12" xfId="25" xr:uid="{00000000-0005-0000-0000-00000A000000}"/>
    <cellStyle name="Normal 12 2" xfId="28" xr:uid="{00000000-0005-0000-0000-00000B000000}"/>
    <cellStyle name="Normal 12 2 2" xfId="52" xr:uid="{00000000-0005-0000-0000-00000C000000}"/>
    <cellStyle name="Normal 12 3" xfId="50" xr:uid="{00000000-0005-0000-0000-00000D000000}"/>
    <cellStyle name="Normal 13" xfId="26" xr:uid="{00000000-0005-0000-0000-00000E000000}"/>
    <cellStyle name="Normal 14" xfId="27" xr:uid="{00000000-0005-0000-0000-00000F000000}"/>
    <cellStyle name="Normal 14 2" xfId="1" xr:uid="{00000000-0005-0000-0000-000010000000}"/>
    <cellStyle name="Normal 14 2 2" xfId="53" xr:uid="{00000000-0005-0000-0000-000011000000}"/>
    <cellStyle name="Normal 14 2 3" xfId="55" xr:uid="{00000000-0005-0000-0000-000012000000}"/>
    <cellStyle name="Normal 14 2 4" xfId="58" xr:uid="{00000000-0005-0000-0000-000013000000}"/>
    <cellStyle name="Normal 14 3" xfId="51" xr:uid="{00000000-0005-0000-0000-000014000000}"/>
    <cellStyle name="Normal 15" xfId="54" xr:uid="{00000000-0005-0000-0000-000015000000}"/>
    <cellStyle name="Normal 16" xfId="2" xr:uid="{00000000-0005-0000-0000-000016000000}"/>
    <cellStyle name="Normal 16 2" xfId="57" xr:uid="{00000000-0005-0000-0000-000017000000}"/>
    <cellStyle name="Normal 16 3" xfId="60" xr:uid="{00000000-0005-0000-0000-000018000000}"/>
    <cellStyle name="Normal 17" xfId="59" xr:uid="{00000000-0005-0000-0000-000019000000}"/>
    <cellStyle name="Normal 17 2" xfId="61" xr:uid="{00000000-0005-0000-0000-00001A000000}"/>
    <cellStyle name="Normal 2" xfId="4" xr:uid="{00000000-0005-0000-0000-00001B000000}"/>
    <cellStyle name="Normal 2 2" xfId="5" xr:uid="{00000000-0005-0000-0000-00001C000000}"/>
    <cellStyle name="Normal 2 2 2" xfId="31" xr:uid="{00000000-0005-0000-0000-00001D000000}"/>
    <cellStyle name="Normal 2 3" xfId="30" xr:uid="{00000000-0005-0000-0000-00001E000000}"/>
    <cellStyle name="Normal 3" xfId="6" xr:uid="{00000000-0005-0000-0000-00001F000000}"/>
    <cellStyle name="Normal 3 2" xfId="7" xr:uid="{00000000-0005-0000-0000-000020000000}"/>
    <cellStyle name="Normal 3 2 2" xfId="33" xr:uid="{00000000-0005-0000-0000-000021000000}"/>
    <cellStyle name="Normal 3 3" xfId="32" xr:uid="{00000000-0005-0000-0000-000022000000}"/>
    <cellStyle name="Normal 4" xfId="8" xr:uid="{00000000-0005-0000-0000-000023000000}"/>
    <cellStyle name="Normal 4 2" xfId="9" xr:uid="{00000000-0005-0000-0000-000024000000}"/>
    <cellStyle name="Normal 4 2 2" xfId="10" xr:uid="{00000000-0005-0000-0000-000025000000}"/>
    <cellStyle name="Normal 4 2 2 2" xfId="35" xr:uid="{00000000-0005-0000-0000-000026000000}"/>
    <cellStyle name="Normal 4 2 3" xfId="34" xr:uid="{00000000-0005-0000-0000-000027000000}"/>
    <cellStyle name="Normal 4 3" xfId="22" xr:uid="{00000000-0005-0000-0000-000028000000}"/>
    <cellStyle name="Normal 4 3 2" xfId="23" xr:uid="{00000000-0005-0000-0000-000029000000}"/>
    <cellStyle name="Normal 4 3 2 2" xfId="48" xr:uid="{00000000-0005-0000-0000-00002A000000}"/>
    <cellStyle name="Normal 4 3 3" xfId="47" xr:uid="{00000000-0005-0000-0000-00002B000000}"/>
    <cellStyle name="Normal 5" xfId="11" xr:uid="{00000000-0005-0000-0000-00002C000000}"/>
    <cellStyle name="Normal 5 2" xfId="12" xr:uid="{00000000-0005-0000-0000-00002D000000}"/>
    <cellStyle name="Normal 5 2 2" xfId="37" xr:uid="{00000000-0005-0000-0000-00002E000000}"/>
    <cellStyle name="Normal 5 3" xfId="36" xr:uid="{00000000-0005-0000-0000-00002F000000}"/>
    <cellStyle name="Normal 6" xfId="13" xr:uid="{00000000-0005-0000-0000-000030000000}"/>
    <cellStyle name="Normal 6 2" xfId="14" xr:uid="{00000000-0005-0000-0000-000031000000}"/>
    <cellStyle name="Normal 6 2 2" xfId="39" xr:uid="{00000000-0005-0000-0000-000032000000}"/>
    <cellStyle name="Normal 6 3" xfId="38" xr:uid="{00000000-0005-0000-0000-000033000000}"/>
    <cellStyle name="Normal 7" xfId="15" xr:uid="{00000000-0005-0000-0000-000034000000}"/>
    <cellStyle name="Normal 7 2" xfId="16" xr:uid="{00000000-0005-0000-0000-000035000000}"/>
    <cellStyle name="Normal 7 2 2" xfId="41" xr:uid="{00000000-0005-0000-0000-000036000000}"/>
    <cellStyle name="Normal 7 3" xfId="40" xr:uid="{00000000-0005-0000-0000-000037000000}"/>
    <cellStyle name="Normal 8" xfId="17" xr:uid="{00000000-0005-0000-0000-000038000000}"/>
    <cellStyle name="Normal 8 2" xfId="18" xr:uid="{00000000-0005-0000-0000-000039000000}"/>
    <cellStyle name="Normal 8 2 2" xfId="43" xr:uid="{00000000-0005-0000-0000-00003A000000}"/>
    <cellStyle name="Normal 8 3" xfId="42" xr:uid="{00000000-0005-0000-0000-00003B000000}"/>
    <cellStyle name="Normal 9" xfId="19" xr:uid="{00000000-0005-0000-0000-00003C000000}"/>
    <cellStyle name="Normal 9 2" xfId="44" xr:uid="{00000000-0005-0000-0000-00003D000000}"/>
    <cellStyle name="Normal_FMEA" xfId="63" xr:uid="{41089CB8-11F0-4EBD-B8F4-A5798F568795}"/>
    <cellStyle name="Normal_Sheet1" xfId="62" xr:uid="{6919F245-F011-4C3D-A39F-07F7C4A22EE0}"/>
  </cellStyles>
  <dxfs count="2">
    <dxf>
      <fill>
        <patternFill>
          <bgColor theme="9" tint="0.39994506668294322"/>
        </patternFill>
      </fill>
    </dxf>
    <dxf>
      <fill>
        <patternFill>
          <bgColor theme="9" tint="0.39994506668294322"/>
        </patternFill>
      </fill>
    </dxf>
  </dxfs>
  <tableStyles count="0" defaultTableStyle="TableStyleMedium9" defaultPivotStyle="PivotStyleLight16"/>
  <colors>
    <mruColors>
      <color rgb="FF009A46"/>
      <color rgb="FF005C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406928</xdr:colOff>
      <xdr:row>73</xdr:row>
      <xdr:rowOff>277092</xdr:rowOff>
    </xdr:from>
    <xdr:to>
      <xdr:col>1</xdr:col>
      <xdr:colOff>85662</xdr:colOff>
      <xdr:row>74</xdr:row>
      <xdr:rowOff>258227</xdr:rowOff>
    </xdr:to>
    <xdr:grpSp>
      <xdr:nvGrpSpPr>
        <xdr:cNvPr id="83" name="Group 82">
          <a:extLst>
            <a:ext uri="{FF2B5EF4-FFF2-40B4-BE49-F238E27FC236}">
              <a16:creationId xmlns:a16="http://schemas.microsoft.com/office/drawing/2014/main" id="{00000000-0008-0000-0000-000053000000}"/>
            </a:ext>
          </a:extLst>
        </xdr:cNvPr>
        <xdr:cNvGrpSpPr/>
      </xdr:nvGrpSpPr>
      <xdr:grpSpPr>
        <a:xfrm>
          <a:off x="10158279213" y="137794280"/>
          <a:ext cx="297859" cy="266885"/>
          <a:chOff x="10040550979" y="6493563"/>
          <a:chExt cx="281608" cy="272141"/>
        </a:xfrm>
      </xdr:grpSpPr>
      <xdr:grpSp>
        <xdr:nvGrpSpPr>
          <xdr:cNvPr id="84" name="Group 11">
            <a:extLst>
              <a:ext uri="{FF2B5EF4-FFF2-40B4-BE49-F238E27FC236}">
                <a16:creationId xmlns:a16="http://schemas.microsoft.com/office/drawing/2014/main" id="{00000000-0008-0000-0000-000054000000}"/>
              </a:ext>
            </a:extLst>
          </xdr:cNvPr>
          <xdr:cNvGrpSpPr/>
        </xdr:nvGrpSpPr>
        <xdr:grpSpPr>
          <a:xfrm>
            <a:off x="10040535945" y="6575998"/>
            <a:ext cx="197250" cy="181422"/>
            <a:chOff x="9983272675" y="12868285"/>
            <a:chExt cx="361951" cy="314325"/>
          </a:xfrm>
        </xdr:grpSpPr>
        <xdr:sp macro="" textlink="">
          <xdr:nvSpPr>
            <xdr:cNvPr id="86" name="Oval 85">
              <a:extLst>
                <a:ext uri="{FF2B5EF4-FFF2-40B4-BE49-F238E27FC236}">
                  <a16:creationId xmlns:a16="http://schemas.microsoft.com/office/drawing/2014/main" id="{00000000-0008-0000-0000-000056000000}"/>
                </a:ext>
              </a:extLst>
            </xdr:cNvPr>
            <xdr:cNvSpPr/>
          </xdr:nvSpPr>
          <xdr:spPr>
            <a:xfrm>
              <a:off x="9983272675" y="12868285"/>
              <a:ext cx="361951" cy="314325"/>
            </a:xfrm>
            <a:prstGeom prst="ellipse">
              <a:avLst/>
            </a:prstGeom>
            <a:ln>
              <a:solidFill>
                <a:srgbClr val="FF0000"/>
              </a:solidFill>
            </a:ln>
          </xdr:spPr>
          <xdr:style>
            <a:lnRef idx="2">
              <a:schemeClr val="dk1"/>
            </a:lnRef>
            <a:fillRef idx="1">
              <a:schemeClr val="lt1"/>
            </a:fillRef>
            <a:effectRef idx="0">
              <a:schemeClr val="dk1"/>
            </a:effectRef>
            <a:fontRef idx="minor">
              <a:schemeClr val="dk1"/>
            </a:fontRef>
          </xdr:style>
          <xdr:txBody>
            <a:bodyPr vertOverflow="clip" rtlCol="0" anchor="ctr"/>
            <a:lstStyle/>
            <a:p>
              <a:pPr algn="r" rtl="1"/>
              <a:endParaRPr lang="en-US" sz="1100"/>
            </a:p>
          </xdr:txBody>
        </xdr:sp>
        <xdr:sp macro="" textlink="">
          <xdr:nvSpPr>
            <xdr:cNvPr id="87" name="Isosceles Triangle 86">
              <a:extLst>
                <a:ext uri="{FF2B5EF4-FFF2-40B4-BE49-F238E27FC236}">
                  <a16:creationId xmlns:a16="http://schemas.microsoft.com/office/drawing/2014/main" id="{00000000-0008-0000-0000-000057000000}"/>
                </a:ext>
              </a:extLst>
            </xdr:cNvPr>
            <xdr:cNvSpPr/>
          </xdr:nvSpPr>
          <xdr:spPr>
            <a:xfrm rot="10800000">
              <a:off x="9983294017" y="12958772"/>
              <a:ext cx="295117" cy="222739"/>
            </a:xfrm>
            <a:prstGeom prst="triangle">
              <a:avLst/>
            </a:prstGeom>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r" rtl="1"/>
              <a:endParaRPr lang="en-US" sz="1100"/>
            </a:p>
          </xdr:txBody>
        </xdr:sp>
      </xdr:grpSp>
      <xdr:sp macro="" textlink="">
        <xdr:nvSpPr>
          <xdr:cNvPr id="85" name="Text Box 1">
            <a:extLst>
              <a:ext uri="{FF2B5EF4-FFF2-40B4-BE49-F238E27FC236}">
                <a16:creationId xmlns:a16="http://schemas.microsoft.com/office/drawing/2014/main" id="{00000000-0008-0000-0000-000055000000}"/>
              </a:ext>
            </a:extLst>
          </xdr:cNvPr>
          <xdr:cNvSpPr txBox="1">
            <a:spLocks noChangeArrowheads="1"/>
          </xdr:cNvSpPr>
        </xdr:nvSpPr>
        <xdr:spPr bwMode="auto">
          <a:xfrm>
            <a:off x="10040724912" y="6518410"/>
            <a:ext cx="120192" cy="164941"/>
          </a:xfrm>
          <a:prstGeom prst="rect">
            <a:avLst/>
          </a:prstGeom>
          <a:noFill/>
          <a:ln w="9525">
            <a:noFill/>
            <a:miter lim="800000"/>
            <a:headEnd/>
            <a:tailEnd/>
          </a:ln>
        </xdr:spPr>
        <xdr:txBody>
          <a:bodyPr vertOverflow="clip" wrap="square" lIns="0" tIns="27432" rIns="27432" bIns="0" anchor="ctr" upright="1"/>
          <a:lstStyle/>
          <a:p>
            <a:pPr algn="ctr" rtl="1">
              <a:defRPr sz="1000"/>
            </a:pPr>
            <a:r>
              <a:rPr lang="en-US" sz="1000" b="1" i="0" u="none" strike="noStrike" baseline="0">
                <a:solidFill>
                  <a:srgbClr val="FF0000"/>
                </a:solidFill>
                <a:latin typeface="Calibri"/>
              </a:rPr>
              <a:t>S</a:t>
            </a:r>
          </a:p>
        </xdr:txBody>
      </xdr:sp>
    </xdr:grpSp>
    <xdr:clientData/>
  </xdr:twoCellAnchor>
  <xdr:twoCellAnchor>
    <xdr:from>
      <xdr:col>2</xdr:col>
      <xdr:colOff>1517555</xdr:colOff>
      <xdr:row>73</xdr:row>
      <xdr:rowOff>290332</xdr:rowOff>
    </xdr:from>
    <xdr:to>
      <xdr:col>2</xdr:col>
      <xdr:colOff>1866982</xdr:colOff>
      <xdr:row>74</xdr:row>
      <xdr:rowOff>223829</xdr:rowOff>
    </xdr:to>
    <xdr:grpSp>
      <xdr:nvGrpSpPr>
        <xdr:cNvPr id="88" name="Group 87">
          <a:extLst>
            <a:ext uri="{FF2B5EF4-FFF2-40B4-BE49-F238E27FC236}">
              <a16:creationId xmlns:a16="http://schemas.microsoft.com/office/drawing/2014/main" id="{00000000-0008-0000-0000-000058000000}"/>
            </a:ext>
          </a:extLst>
        </xdr:cNvPr>
        <xdr:cNvGrpSpPr/>
      </xdr:nvGrpSpPr>
      <xdr:grpSpPr>
        <a:xfrm>
          <a:off x="10154973893" y="137807520"/>
          <a:ext cx="349427" cy="219247"/>
          <a:chOff x="10038352083" y="6990536"/>
          <a:chExt cx="343590" cy="221268"/>
        </a:xfrm>
      </xdr:grpSpPr>
      <xdr:grpSp>
        <xdr:nvGrpSpPr>
          <xdr:cNvPr id="89" name="Group 18">
            <a:extLst>
              <a:ext uri="{FF2B5EF4-FFF2-40B4-BE49-F238E27FC236}">
                <a16:creationId xmlns:a16="http://schemas.microsoft.com/office/drawing/2014/main" id="{00000000-0008-0000-0000-000059000000}"/>
              </a:ext>
            </a:extLst>
          </xdr:cNvPr>
          <xdr:cNvGrpSpPr/>
        </xdr:nvGrpSpPr>
        <xdr:grpSpPr>
          <a:xfrm>
            <a:off x="10038352083" y="6990536"/>
            <a:ext cx="233598" cy="198784"/>
            <a:chOff x="10038785649" y="6581139"/>
            <a:chExt cx="196931" cy="169199"/>
          </a:xfrm>
        </xdr:grpSpPr>
        <xdr:sp macro="" textlink="">
          <xdr:nvSpPr>
            <xdr:cNvPr id="91" name="Oval 90">
              <a:extLst>
                <a:ext uri="{FF2B5EF4-FFF2-40B4-BE49-F238E27FC236}">
                  <a16:creationId xmlns:a16="http://schemas.microsoft.com/office/drawing/2014/main" id="{00000000-0008-0000-0000-00005B000000}"/>
                </a:ext>
              </a:extLst>
            </xdr:cNvPr>
            <xdr:cNvSpPr/>
          </xdr:nvSpPr>
          <xdr:spPr>
            <a:xfrm>
              <a:off x="10038785649" y="6581139"/>
              <a:ext cx="196931" cy="169199"/>
            </a:xfrm>
            <a:prstGeom prst="ellipse">
              <a:avLst/>
            </a:prstGeom>
            <a:ln>
              <a:solidFill>
                <a:srgbClr val="FF0000"/>
              </a:solidFill>
            </a:ln>
          </xdr:spPr>
          <xdr:style>
            <a:lnRef idx="2">
              <a:schemeClr val="dk1"/>
            </a:lnRef>
            <a:fillRef idx="1">
              <a:schemeClr val="lt1"/>
            </a:fillRef>
            <a:effectRef idx="0">
              <a:schemeClr val="dk1"/>
            </a:effectRef>
            <a:fontRef idx="minor">
              <a:schemeClr val="dk1"/>
            </a:fontRef>
          </xdr:style>
          <xdr:txBody>
            <a:bodyPr vertOverflow="clip" rtlCol="0" anchor="ctr"/>
            <a:lstStyle/>
            <a:p>
              <a:pPr algn="r" rtl="1"/>
              <a:endParaRPr lang="en-US" sz="1100"/>
            </a:p>
          </xdr:txBody>
        </xdr:sp>
        <xdr:sp macro="" textlink="">
          <xdr:nvSpPr>
            <xdr:cNvPr id="92" name="Isosceles Triangle 91">
              <a:extLst>
                <a:ext uri="{FF2B5EF4-FFF2-40B4-BE49-F238E27FC236}">
                  <a16:creationId xmlns:a16="http://schemas.microsoft.com/office/drawing/2014/main" id="{00000000-0008-0000-0000-00005C000000}"/>
                </a:ext>
              </a:extLst>
            </xdr:cNvPr>
            <xdr:cNvSpPr/>
          </xdr:nvSpPr>
          <xdr:spPr>
            <a:xfrm rot="10800000">
              <a:off x="10038795066" y="6620268"/>
              <a:ext cx="167434" cy="115366"/>
            </a:xfrm>
            <a:prstGeom prst="triangle">
              <a:avLst/>
            </a:prstGeom>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r" rtl="1"/>
              <a:endParaRPr lang="en-US" sz="1100"/>
            </a:p>
          </xdr:txBody>
        </xdr:sp>
      </xdr:grpSp>
      <xdr:sp macro="" textlink="">
        <xdr:nvSpPr>
          <xdr:cNvPr id="90" name="Text Box 1">
            <a:extLst>
              <a:ext uri="{FF2B5EF4-FFF2-40B4-BE49-F238E27FC236}">
                <a16:creationId xmlns:a16="http://schemas.microsoft.com/office/drawing/2014/main" id="{00000000-0008-0000-0000-00005A000000}"/>
              </a:ext>
            </a:extLst>
          </xdr:cNvPr>
          <xdr:cNvSpPr txBox="1">
            <a:spLocks noChangeArrowheads="1"/>
          </xdr:cNvSpPr>
        </xdr:nvSpPr>
        <xdr:spPr bwMode="auto">
          <a:xfrm>
            <a:off x="10038588079" y="7048500"/>
            <a:ext cx="107594" cy="163304"/>
          </a:xfrm>
          <a:prstGeom prst="rect">
            <a:avLst/>
          </a:prstGeom>
          <a:noFill/>
          <a:ln w="9525">
            <a:noFill/>
            <a:miter lim="800000"/>
            <a:headEnd/>
            <a:tailEnd/>
          </a:ln>
        </xdr:spPr>
        <xdr:txBody>
          <a:bodyPr vertOverflow="clip" wrap="square" lIns="0" tIns="27432" rIns="27432" bIns="0" anchor="ctr" upright="1"/>
          <a:lstStyle/>
          <a:p>
            <a:pPr algn="ctr" rtl="1">
              <a:defRPr sz="1000"/>
            </a:pPr>
            <a:r>
              <a:rPr lang="en-US" sz="1000" b="1" i="0" u="none" strike="noStrike" baseline="0">
                <a:solidFill>
                  <a:srgbClr val="FF0000"/>
                </a:solidFill>
                <a:latin typeface="Calibri"/>
              </a:rPr>
              <a:t>R</a:t>
            </a:r>
          </a:p>
        </xdr:txBody>
      </xdr:sp>
    </xdr:grpSp>
    <xdr:clientData/>
  </xdr:twoCellAnchor>
  <xdr:oneCellAnchor>
    <xdr:from>
      <xdr:col>0</xdr:col>
      <xdr:colOff>321470</xdr:colOff>
      <xdr:row>0</xdr:row>
      <xdr:rowOff>95249</xdr:rowOff>
    </xdr:from>
    <xdr:ext cx="690563" cy="726281"/>
    <xdr:pic>
      <xdr:nvPicPr>
        <xdr:cNvPr id="3" name="Picture 2" descr="Description: logo">
          <a:extLst>
            <a:ext uri="{FF2B5EF4-FFF2-40B4-BE49-F238E27FC236}">
              <a16:creationId xmlns:a16="http://schemas.microsoft.com/office/drawing/2014/main" id="{768BAAB9-7154-4B98-A93A-0A8B5C5F0E2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01123792" y="95249"/>
          <a:ext cx="690563" cy="726281"/>
        </a:xfrm>
        <a:prstGeom prst="rect">
          <a:avLst/>
        </a:prstGeom>
        <a:noFill/>
        <a:ln>
          <a:noFill/>
        </a:ln>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64"/>
  <sheetViews>
    <sheetView rightToLeft="1" tabSelected="1" topLeftCell="A10" zoomScale="40" zoomScaleNormal="40" zoomScaleSheetLayoutView="85" workbookViewId="0">
      <selection activeCell="M11" sqref="M11"/>
    </sheetView>
  </sheetViews>
  <sheetFormatPr defaultColWidth="9.140625" defaultRowHeight="20.25" x14ac:dyDescent="0.5"/>
  <cols>
    <col min="1" max="1" width="9.42578125" style="23" customWidth="1"/>
    <col min="2" max="2" width="22.85546875" style="23" customWidth="1"/>
    <col min="3" max="3" width="37.85546875" style="23" bestFit="1" customWidth="1"/>
    <col min="4" max="4" width="39.42578125" style="23" bestFit="1" customWidth="1"/>
    <col min="5" max="5" width="6.140625" style="25" customWidth="1"/>
    <col min="6" max="6" width="6.140625" style="26" customWidth="1"/>
    <col min="7" max="7" width="44.42578125" style="25" customWidth="1"/>
    <col min="8" max="8" width="5.42578125" style="26" customWidth="1"/>
    <col min="9" max="9" width="5.42578125" style="25" customWidth="1"/>
    <col min="10" max="10" width="52.140625" style="60" customWidth="1"/>
    <col min="11" max="11" width="34.140625" style="23" customWidth="1"/>
    <col min="12" max="12" width="8.42578125" style="23" customWidth="1"/>
    <col min="13" max="13" width="8.140625" style="23" customWidth="1"/>
    <col min="14" max="14" width="38.85546875" style="40" bestFit="1" customWidth="1"/>
    <col min="15" max="15" width="18" style="23" customWidth="1"/>
    <col min="16" max="16" width="15.42578125" style="23" customWidth="1"/>
    <col min="17" max="17" width="32.140625" style="23" customWidth="1"/>
    <col min="18" max="18" width="8" style="23" customWidth="1"/>
    <col min="19" max="19" width="9.42578125" style="23" customWidth="1"/>
    <col min="20" max="21" width="8" style="23" customWidth="1"/>
    <col min="22" max="22" width="11.85546875" style="23" customWidth="1"/>
    <col min="23" max="25" width="9.140625" style="1"/>
    <col min="26" max="26" width="13.5703125" style="1" customWidth="1"/>
    <col min="27" max="16384" width="9.140625" style="1"/>
  </cols>
  <sheetData>
    <row r="1" spans="1:43" s="69" customFormat="1" ht="21.75" customHeight="1" x14ac:dyDescent="0.2">
      <c r="A1" s="185" t="s">
        <v>136</v>
      </c>
      <c r="B1" s="186"/>
      <c r="C1" s="186"/>
      <c r="D1" s="187"/>
      <c r="E1" s="194" t="s">
        <v>137</v>
      </c>
      <c r="F1" s="195"/>
      <c r="G1" s="195"/>
      <c r="H1" s="195"/>
      <c r="I1" s="195"/>
      <c r="J1" s="195"/>
      <c r="K1" s="195"/>
      <c r="L1" s="195"/>
      <c r="M1" s="195"/>
      <c r="N1" s="195"/>
      <c r="O1" s="195"/>
      <c r="P1" s="195"/>
      <c r="Q1" s="198" t="s">
        <v>359</v>
      </c>
      <c r="R1" s="199"/>
      <c r="S1" s="199"/>
      <c r="T1" s="199"/>
      <c r="U1" s="199"/>
      <c r="V1" s="200"/>
      <c r="W1" s="161" t="s">
        <v>348</v>
      </c>
      <c r="X1" s="162"/>
      <c r="Y1" s="162"/>
      <c r="Z1" s="162"/>
      <c r="AA1" s="162"/>
      <c r="AB1" s="162"/>
      <c r="AC1" s="162"/>
      <c r="AD1" s="162"/>
      <c r="AE1" s="162"/>
      <c r="AF1" s="162"/>
      <c r="AG1" s="162"/>
      <c r="AH1" s="162"/>
      <c r="AI1" s="162"/>
      <c r="AJ1" s="162"/>
      <c r="AK1" s="162"/>
      <c r="AL1" s="163"/>
      <c r="AQ1" s="88" t="s">
        <v>173</v>
      </c>
    </row>
    <row r="2" spans="1:43" s="69" customFormat="1" ht="22.5" customHeight="1" x14ac:dyDescent="0.2">
      <c r="A2" s="188"/>
      <c r="B2" s="189"/>
      <c r="C2" s="189"/>
      <c r="D2" s="190"/>
      <c r="E2" s="196"/>
      <c r="F2" s="197"/>
      <c r="G2" s="197"/>
      <c r="H2" s="197"/>
      <c r="I2" s="197"/>
      <c r="J2" s="197"/>
      <c r="K2" s="197"/>
      <c r="L2" s="197"/>
      <c r="M2" s="197"/>
      <c r="N2" s="197"/>
      <c r="O2" s="197"/>
      <c r="P2" s="197"/>
      <c r="Q2" s="173" t="s">
        <v>358</v>
      </c>
      <c r="R2" s="174"/>
      <c r="S2" s="174"/>
      <c r="T2" s="174"/>
      <c r="U2" s="174"/>
      <c r="V2" s="175"/>
      <c r="W2" s="164"/>
      <c r="X2" s="165"/>
      <c r="Y2" s="165"/>
      <c r="Z2" s="165"/>
      <c r="AA2" s="165"/>
      <c r="AB2" s="165"/>
      <c r="AC2" s="165"/>
      <c r="AD2" s="165"/>
      <c r="AE2" s="165"/>
      <c r="AF2" s="165"/>
      <c r="AG2" s="165"/>
      <c r="AH2" s="165"/>
      <c r="AI2" s="165"/>
      <c r="AJ2" s="165"/>
      <c r="AK2" s="165"/>
      <c r="AL2" s="166"/>
      <c r="AQ2" s="88" cm="1">
        <f t="array" ref="AQ2">INDEX(_xlfn._xlws.SORT($M$9:$M901,1,-1),COUNT(_xlfn._xlws.SORT($M$9:$M901,1,-1))*0.2)</f>
        <v>126</v>
      </c>
    </row>
    <row r="3" spans="1:43" s="69" customFormat="1" ht="29.25" customHeight="1" thickBot="1" x14ac:dyDescent="0.25">
      <c r="A3" s="191"/>
      <c r="B3" s="192"/>
      <c r="C3" s="192"/>
      <c r="D3" s="193"/>
      <c r="E3" s="201" t="s">
        <v>138</v>
      </c>
      <c r="F3" s="202"/>
      <c r="G3" s="202"/>
      <c r="H3" s="202"/>
      <c r="I3" s="202"/>
      <c r="J3" s="202"/>
      <c r="K3" s="202"/>
      <c r="L3" s="202"/>
      <c r="M3" s="202"/>
      <c r="N3" s="202"/>
      <c r="O3" s="202"/>
      <c r="P3" s="202"/>
      <c r="Q3" s="173" t="s">
        <v>161</v>
      </c>
      <c r="R3" s="174"/>
      <c r="S3" s="174"/>
      <c r="T3" s="174"/>
      <c r="U3" s="174"/>
      <c r="V3" s="175"/>
      <c r="W3" s="164"/>
      <c r="X3" s="165"/>
      <c r="Y3" s="165"/>
      <c r="Z3" s="165"/>
      <c r="AA3" s="165"/>
      <c r="AB3" s="165"/>
      <c r="AC3" s="165"/>
      <c r="AD3" s="165"/>
      <c r="AE3" s="165"/>
      <c r="AF3" s="165"/>
      <c r="AG3" s="165"/>
      <c r="AH3" s="165"/>
      <c r="AI3" s="165"/>
      <c r="AJ3" s="165"/>
      <c r="AK3" s="165"/>
      <c r="AL3" s="166"/>
    </row>
    <row r="4" spans="1:43" s="70" customFormat="1" ht="24" customHeight="1" x14ac:dyDescent="0.25">
      <c r="A4" s="203" t="s">
        <v>166</v>
      </c>
      <c r="B4" s="204"/>
      <c r="C4" s="204"/>
      <c r="D4" s="204"/>
      <c r="E4" s="205"/>
      <c r="F4" s="206" t="s">
        <v>355</v>
      </c>
      <c r="G4" s="206"/>
      <c r="H4" s="206"/>
      <c r="I4" s="206"/>
      <c r="J4" s="207" t="s">
        <v>333</v>
      </c>
      <c r="K4" s="208"/>
      <c r="L4" s="209" t="s">
        <v>174</v>
      </c>
      <c r="M4" s="210"/>
      <c r="N4" s="210"/>
      <c r="O4" s="210"/>
      <c r="P4" s="211"/>
      <c r="Q4" s="170" t="s">
        <v>139</v>
      </c>
      <c r="R4" s="171"/>
      <c r="S4" s="171"/>
      <c r="T4" s="171"/>
      <c r="U4" s="171"/>
      <c r="V4" s="172"/>
      <c r="W4" s="164"/>
      <c r="X4" s="165"/>
      <c r="Y4" s="165"/>
      <c r="Z4" s="165"/>
      <c r="AA4" s="165"/>
      <c r="AB4" s="165"/>
      <c r="AC4" s="165"/>
      <c r="AD4" s="165"/>
      <c r="AE4" s="165"/>
      <c r="AF4" s="165"/>
      <c r="AG4" s="165"/>
      <c r="AH4" s="165"/>
      <c r="AI4" s="165"/>
      <c r="AJ4" s="165"/>
      <c r="AK4" s="165"/>
      <c r="AL4" s="166"/>
    </row>
    <row r="5" spans="1:43" s="70" customFormat="1" ht="24" customHeight="1" x14ac:dyDescent="0.25">
      <c r="A5" s="176" t="s">
        <v>140</v>
      </c>
      <c r="B5" s="171"/>
      <c r="C5" s="171"/>
      <c r="D5" s="171"/>
      <c r="E5" s="177"/>
      <c r="F5" s="178" t="s">
        <v>141</v>
      </c>
      <c r="G5" s="178"/>
      <c r="H5" s="178"/>
      <c r="I5" s="178"/>
      <c r="J5" s="178"/>
      <c r="K5" s="178"/>
      <c r="L5" s="179" t="s">
        <v>142</v>
      </c>
      <c r="M5" s="179"/>
      <c r="N5" s="179"/>
      <c r="O5" s="179"/>
      <c r="P5" s="180"/>
      <c r="Q5" s="170" t="s">
        <v>356</v>
      </c>
      <c r="R5" s="171"/>
      <c r="S5" s="171"/>
      <c r="T5" s="171"/>
      <c r="U5" s="171"/>
      <c r="V5" s="172"/>
      <c r="W5" s="164"/>
      <c r="X5" s="165"/>
      <c r="Y5" s="165"/>
      <c r="Z5" s="165"/>
      <c r="AA5" s="165"/>
      <c r="AB5" s="165"/>
      <c r="AC5" s="165"/>
      <c r="AD5" s="165"/>
      <c r="AE5" s="165"/>
      <c r="AF5" s="165"/>
      <c r="AG5" s="165"/>
      <c r="AH5" s="165"/>
      <c r="AI5" s="165"/>
      <c r="AJ5" s="165"/>
      <c r="AK5" s="165"/>
      <c r="AL5" s="166"/>
    </row>
    <row r="6" spans="1:43" s="70" customFormat="1" ht="24" customHeight="1" thickBot="1" x14ac:dyDescent="0.3">
      <c r="A6" s="183" t="s">
        <v>143</v>
      </c>
      <c r="B6" s="184"/>
      <c r="C6" s="184"/>
      <c r="D6" s="184"/>
      <c r="E6" s="184"/>
      <c r="F6" s="184" t="s">
        <v>144</v>
      </c>
      <c r="G6" s="184"/>
      <c r="H6" s="184"/>
      <c r="I6" s="184"/>
      <c r="J6" s="184"/>
      <c r="K6" s="184"/>
      <c r="L6" s="181"/>
      <c r="M6" s="181"/>
      <c r="N6" s="181"/>
      <c r="O6" s="181"/>
      <c r="P6" s="182"/>
      <c r="Q6" s="170" t="s">
        <v>357</v>
      </c>
      <c r="R6" s="171"/>
      <c r="S6" s="171"/>
      <c r="T6" s="171"/>
      <c r="U6" s="171"/>
      <c r="V6" s="172"/>
      <c r="W6" s="167" t="s">
        <v>349</v>
      </c>
      <c r="X6" s="168"/>
      <c r="Y6" s="168"/>
      <c r="Z6" s="168"/>
      <c r="AA6" s="168"/>
      <c r="AB6" s="168"/>
      <c r="AC6" s="168"/>
      <c r="AD6" s="168"/>
      <c r="AE6" s="168"/>
      <c r="AF6" s="168"/>
      <c r="AG6" s="168"/>
      <c r="AH6" s="168"/>
      <c r="AI6" s="168"/>
      <c r="AJ6" s="168"/>
      <c r="AK6" s="168"/>
      <c r="AL6" s="169"/>
    </row>
    <row r="7" spans="1:43" s="2" customFormat="1" ht="20.25" customHeight="1" x14ac:dyDescent="0.25">
      <c r="A7" s="217" t="s">
        <v>2</v>
      </c>
      <c r="B7" s="223" t="s">
        <v>22</v>
      </c>
      <c r="C7" s="223" t="s">
        <v>11</v>
      </c>
      <c r="D7" s="223" t="s">
        <v>23</v>
      </c>
      <c r="E7" s="223" t="s">
        <v>3</v>
      </c>
      <c r="F7" s="223" t="s">
        <v>81</v>
      </c>
      <c r="G7" s="266" t="s">
        <v>4</v>
      </c>
      <c r="H7" s="266" t="s">
        <v>5</v>
      </c>
      <c r="I7" s="269" t="s">
        <v>85</v>
      </c>
      <c r="J7" s="223" t="s">
        <v>6</v>
      </c>
      <c r="K7" s="223"/>
      <c r="L7" s="223" t="s">
        <v>9</v>
      </c>
      <c r="M7" s="267" t="s">
        <v>20</v>
      </c>
      <c r="N7" s="257" t="s">
        <v>10</v>
      </c>
      <c r="O7" s="258"/>
      <c r="P7" s="258"/>
      <c r="Q7" s="259"/>
      <c r="R7" s="224" t="s">
        <v>3</v>
      </c>
      <c r="S7" s="224" t="s">
        <v>5</v>
      </c>
      <c r="T7" s="264" t="s">
        <v>12</v>
      </c>
      <c r="U7" s="262" t="s">
        <v>20</v>
      </c>
      <c r="V7" s="262" t="s">
        <v>85</v>
      </c>
      <c r="W7" s="254" t="s">
        <v>289</v>
      </c>
      <c r="X7" s="250" t="s">
        <v>290</v>
      </c>
      <c r="Y7" s="250" t="s">
        <v>291</v>
      </c>
      <c r="Z7" s="250" t="s">
        <v>292</v>
      </c>
      <c r="AA7" s="250" t="s">
        <v>293</v>
      </c>
      <c r="AB7" s="250" t="s">
        <v>294</v>
      </c>
      <c r="AC7" s="250" t="s">
        <v>295</v>
      </c>
      <c r="AD7" s="250" t="s">
        <v>296</v>
      </c>
      <c r="AE7" s="250" t="s">
        <v>297</v>
      </c>
      <c r="AF7" s="250" t="s">
        <v>298</v>
      </c>
      <c r="AG7" s="250" t="s">
        <v>299</v>
      </c>
      <c r="AH7" s="250" t="s">
        <v>300</v>
      </c>
      <c r="AI7" s="250" t="s">
        <v>301</v>
      </c>
      <c r="AJ7" s="250" t="s">
        <v>302</v>
      </c>
      <c r="AK7" s="250" t="s">
        <v>303</v>
      </c>
      <c r="AL7" s="252" t="s">
        <v>304</v>
      </c>
    </row>
    <row r="8" spans="1:43" s="2" customFormat="1" ht="36.75" customHeight="1" thickBot="1" x14ac:dyDescent="0.3">
      <c r="A8" s="218"/>
      <c r="B8" s="224"/>
      <c r="C8" s="224"/>
      <c r="D8" s="224"/>
      <c r="E8" s="264"/>
      <c r="F8" s="264"/>
      <c r="G8" s="224"/>
      <c r="H8" s="224"/>
      <c r="I8" s="268"/>
      <c r="J8" s="46" t="s">
        <v>7</v>
      </c>
      <c r="K8" s="46" t="s">
        <v>8</v>
      </c>
      <c r="L8" s="224"/>
      <c r="M8" s="268"/>
      <c r="N8" s="45" t="s">
        <v>39</v>
      </c>
      <c r="O8" s="45" t="s">
        <v>79</v>
      </c>
      <c r="P8" s="45" t="s">
        <v>80</v>
      </c>
      <c r="Q8" s="45" t="s">
        <v>40</v>
      </c>
      <c r="R8" s="256"/>
      <c r="S8" s="256"/>
      <c r="T8" s="265"/>
      <c r="U8" s="263"/>
      <c r="V8" s="263"/>
      <c r="W8" s="255"/>
      <c r="X8" s="251"/>
      <c r="Y8" s="251"/>
      <c r="Z8" s="251"/>
      <c r="AA8" s="251"/>
      <c r="AB8" s="251"/>
      <c r="AC8" s="251"/>
      <c r="AD8" s="251"/>
      <c r="AE8" s="251"/>
      <c r="AF8" s="251"/>
      <c r="AG8" s="251"/>
      <c r="AH8" s="251"/>
      <c r="AI8" s="251"/>
      <c r="AJ8" s="251"/>
      <c r="AK8" s="251"/>
      <c r="AL8" s="253"/>
    </row>
    <row r="9" spans="1:43" s="5" customFormat="1" ht="35.25" customHeight="1" x14ac:dyDescent="0.25">
      <c r="A9" s="137" t="s">
        <v>67</v>
      </c>
      <c r="B9" s="138" t="s">
        <v>60</v>
      </c>
      <c r="C9" s="260" t="s">
        <v>66</v>
      </c>
      <c r="D9" s="260"/>
      <c r="E9" s="260"/>
      <c r="F9" s="260"/>
      <c r="G9" s="260"/>
      <c r="H9" s="260"/>
      <c r="I9" s="260"/>
      <c r="J9" s="260"/>
      <c r="K9" s="260"/>
      <c r="L9" s="260"/>
      <c r="M9" s="260"/>
      <c r="N9" s="260"/>
      <c r="O9" s="260"/>
      <c r="P9" s="260"/>
      <c r="Q9" s="260"/>
      <c r="R9" s="260"/>
      <c r="S9" s="260"/>
      <c r="T9" s="260"/>
      <c r="U9" s="260"/>
      <c r="V9" s="261"/>
      <c r="W9" s="113"/>
      <c r="X9" s="107"/>
      <c r="Y9" s="107"/>
      <c r="Z9" s="107"/>
      <c r="AA9" s="107"/>
      <c r="AB9" s="107"/>
      <c r="AC9" s="107"/>
      <c r="AD9" s="107"/>
      <c r="AE9" s="107"/>
      <c r="AF9" s="107"/>
      <c r="AG9" s="107"/>
      <c r="AH9" s="107"/>
      <c r="AI9" s="107"/>
      <c r="AJ9" s="107"/>
      <c r="AK9" s="107"/>
      <c r="AL9" s="108"/>
      <c r="AM9" s="7"/>
      <c r="AN9" s="7"/>
      <c r="AO9" s="7"/>
      <c r="AP9" s="7"/>
      <c r="AQ9" s="7"/>
    </row>
    <row r="10" spans="1:43" s="5" customFormat="1" ht="300" x14ac:dyDescent="0.25">
      <c r="A10" s="222" t="s">
        <v>53</v>
      </c>
      <c r="B10" s="216" t="s">
        <v>169</v>
      </c>
      <c r="C10" s="12" t="s">
        <v>308</v>
      </c>
      <c r="D10" s="12" t="s">
        <v>107</v>
      </c>
      <c r="E10" s="12">
        <v>3</v>
      </c>
      <c r="F10" s="12" t="str" cm="1">
        <f t="array" ref="F10">_xlfn.SWITCH(E10,1,"m",2,"m",3,"m",4,"M2",5,"M2",6,"M1",7,"M1",8,"C",9,"C",10,"S/R")</f>
        <v>m</v>
      </c>
      <c r="G10" s="12" t="s">
        <v>54</v>
      </c>
      <c r="H10" s="12">
        <v>5</v>
      </c>
      <c r="I10" s="12">
        <f t="shared" ref="I10:I11" si="0">H10*E10</f>
        <v>15</v>
      </c>
      <c r="J10" s="77" t="s">
        <v>317</v>
      </c>
      <c r="K10" s="12" t="s">
        <v>181</v>
      </c>
      <c r="L10" s="22">
        <v>6</v>
      </c>
      <c r="M10" s="22">
        <f>L10*H10*E10</f>
        <v>90</v>
      </c>
      <c r="N10" s="90" t="s">
        <v>182</v>
      </c>
      <c r="O10" s="87" t="s">
        <v>183</v>
      </c>
      <c r="P10" s="87" t="s">
        <v>184</v>
      </c>
      <c r="Q10" s="91" t="s">
        <v>94</v>
      </c>
      <c r="R10" s="71">
        <v>3</v>
      </c>
      <c r="S10" s="71">
        <v>3</v>
      </c>
      <c r="T10" s="71">
        <v>6</v>
      </c>
      <c r="U10" s="71">
        <f>T10*S10*R10</f>
        <v>54</v>
      </c>
      <c r="V10" s="72">
        <f>S10*R10</f>
        <v>9</v>
      </c>
      <c r="W10" s="114"/>
      <c r="X10" s="109"/>
      <c r="Y10" s="109"/>
      <c r="Z10" s="109"/>
      <c r="AA10" s="109"/>
      <c r="AB10" s="109"/>
      <c r="AC10" s="109"/>
      <c r="AD10" s="109"/>
      <c r="AE10" s="109"/>
      <c r="AF10" s="109"/>
      <c r="AG10" s="109"/>
      <c r="AH10" s="109"/>
      <c r="AI10" s="109"/>
      <c r="AJ10" s="109"/>
      <c r="AK10" s="109"/>
      <c r="AL10" s="110"/>
    </row>
    <row r="11" spans="1:43" s="67" customFormat="1" ht="281.25" x14ac:dyDescent="0.25">
      <c r="A11" s="222"/>
      <c r="B11" s="216"/>
      <c r="C11" s="12" t="s">
        <v>309</v>
      </c>
      <c r="D11" s="12" t="s">
        <v>55</v>
      </c>
      <c r="E11" s="12">
        <v>3</v>
      </c>
      <c r="F11" s="12" t="str" cm="1">
        <f t="array" ref="F11">_xlfn.SWITCH(E11,1,"m",2,"m",3,"m",4,"M2",5,"M2",6,"M1",7,"M1",8,"C",9,"C",10,"S/R")</f>
        <v>m</v>
      </c>
      <c r="G11" s="12" t="s">
        <v>56</v>
      </c>
      <c r="H11" s="12">
        <v>2</v>
      </c>
      <c r="I11" s="12">
        <f t="shared" si="0"/>
        <v>6</v>
      </c>
      <c r="J11" s="77" t="s">
        <v>185</v>
      </c>
      <c r="K11" s="12" t="s">
        <v>186</v>
      </c>
      <c r="L11" s="22">
        <v>6</v>
      </c>
      <c r="M11" s="22">
        <f t="shared" ref="M11" si="1">L11*H11*E11</f>
        <v>36</v>
      </c>
      <c r="N11" s="90"/>
      <c r="O11" s="115"/>
      <c r="P11" s="115"/>
      <c r="Q11" s="91"/>
      <c r="R11" s="11"/>
      <c r="S11" s="11"/>
      <c r="T11" s="11"/>
      <c r="U11" s="11"/>
      <c r="V11" s="14"/>
      <c r="W11" s="114"/>
      <c r="X11" s="111"/>
      <c r="Y11" s="111"/>
      <c r="Z11" s="111"/>
      <c r="AA11" s="111"/>
      <c r="AB11" s="111"/>
      <c r="AC11" s="111"/>
      <c r="AD11" s="111"/>
      <c r="AE11" s="111"/>
      <c r="AF11" s="111"/>
      <c r="AG11" s="111"/>
      <c r="AH11" s="111"/>
      <c r="AI11" s="111"/>
      <c r="AJ11" s="111"/>
      <c r="AK11" s="111"/>
      <c r="AL11" s="112"/>
      <c r="AM11" s="5"/>
      <c r="AN11" s="5"/>
      <c r="AO11" s="5"/>
      <c r="AP11" s="5"/>
      <c r="AQ11" s="5"/>
    </row>
    <row r="12" spans="1:43" s="3" customFormat="1" ht="66.75" customHeight="1" x14ac:dyDescent="0.3">
      <c r="A12" s="139" t="s">
        <v>25</v>
      </c>
      <c r="B12" s="13" t="s">
        <v>187</v>
      </c>
      <c r="C12" s="48" t="s">
        <v>57</v>
      </c>
      <c r="D12" s="12" t="s">
        <v>58</v>
      </c>
      <c r="E12" s="48">
        <v>4</v>
      </c>
      <c r="F12" s="12" t="str" cm="1">
        <f t="array" ref="F12">_xlfn.SWITCH(E12,1,"m",2,"m",3,"m",4,"M2",5,"M2",6,"M1",7,"M1",8,"C",9,"C",10,"S/R")</f>
        <v>M2</v>
      </c>
      <c r="G12" s="48" t="s">
        <v>63</v>
      </c>
      <c r="H12" s="48">
        <v>4</v>
      </c>
      <c r="I12" s="12">
        <f>H12*E12</f>
        <v>16</v>
      </c>
      <c r="J12" s="28" t="s">
        <v>188</v>
      </c>
      <c r="K12" s="48" t="s">
        <v>59</v>
      </c>
      <c r="L12" s="15">
        <v>5</v>
      </c>
      <c r="M12" s="15">
        <f>L12*H12*E12</f>
        <v>80</v>
      </c>
      <c r="N12" s="34"/>
      <c r="O12" s="68"/>
      <c r="P12" s="68"/>
      <c r="Q12" s="116"/>
      <c r="R12" s="116"/>
      <c r="S12" s="11"/>
      <c r="T12" s="11"/>
      <c r="U12" s="11"/>
      <c r="V12" s="14"/>
      <c r="W12" s="114"/>
      <c r="X12" s="111"/>
      <c r="Y12" s="111"/>
      <c r="Z12" s="111"/>
      <c r="AA12" s="111"/>
      <c r="AB12" s="111"/>
      <c r="AC12" s="111"/>
      <c r="AD12" s="111"/>
      <c r="AE12" s="111"/>
      <c r="AF12" s="111"/>
      <c r="AG12" s="111"/>
      <c r="AH12" s="111"/>
      <c r="AI12" s="111"/>
      <c r="AJ12" s="111"/>
      <c r="AK12" s="111"/>
      <c r="AL12" s="112"/>
      <c r="AM12" s="67"/>
      <c r="AN12" s="67"/>
      <c r="AO12" s="67"/>
      <c r="AP12" s="67"/>
      <c r="AQ12" s="67"/>
    </row>
    <row r="13" spans="1:43" s="3" customFormat="1" ht="208.5" customHeight="1" x14ac:dyDescent="0.25">
      <c r="A13" s="219" t="s">
        <v>24</v>
      </c>
      <c r="B13" s="216" t="s">
        <v>18</v>
      </c>
      <c r="C13" s="12" t="s">
        <v>189</v>
      </c>
      <c r="D13" s="12" t="s">
        <v>26</v>
      </c>
      <c r="E13" s="12">
        <v>7</v>
      </c>
      <c r="F13" s="12" t="str" cm="1">
        <f t="array" ref="F13">_xlfn.SWITCH(E13,1,"m",2,"m",3,"m",4,"M2",5,"M2",6,"M1",7,"M1",8,"C",9,"C",10,"S/R")</f>
        <v>M1</v>
      </c>
      <c r="G13" s="12" t="s">
        <v>27</v>
      </c>
      <c r="H13" s="12">
        <v>3</v>
      </c>
      <c r="I13" s="12">
        <f t="shared" ref="I13:I61" si="2">H13*E13</f>
        <v>21</v>
      </c>
      <c r="J13" s="13" t="s">
        <v>335</v>
      </c>
      <c r="K13" s="12" t="s">
        <v>19</v>
      </c>
      <c r="L13" s="22">
        <v>8</v>
      </c>
      <c r="M13" s="22">
        <f t="shared" ref="M13:M19" si="3">L13*H13*E13</f>
        <v>168</v>
      </c>
      <c r="N13" s="87" t="s">
        <v>190</v>
      </c>
      <c r="O13" s="92" t="s">
        <v>191</v>
      </c>
      <c r="P13" s="92" t="s">
        <v>192</v>
      </c>
      <c r="Q13" s="87" t="s">
        <v>94</v>
      </c>
      <c r="R13" s="71">
        <v>7</v>
      </c>
      <c r="S13" s="71">
        <v>2</v>
      </c>
      <c r="T13" s="71">
        <v>2</v>
      </c>
      <c r="U13" s="71">
        <f>T13*S13*R13</f>
        <v>28</v>
      </c>
      <c r="V13" s="72">
        <f>S13*R13</f>
        <v>14</v>
      </c>
      <c r="W13" s="114"/>
      <c r="X13" s="111"/>
      <c r="Y13" s="111"/>
      <c r="Z13" s="111"/>
      <c r="AA13" s="111"/>
      <c r="AB13" s="111"/>
      <c r="AC13" s="111"/>
      <c r="AD13" s="111"/>
      <c r="AE13" s="111"/>
      <c r="AF13" s="111"/>
      <c r="AG13" s="111"/>
      <c r="AH13" s="111"/>
      <c r="AI13" s="111"/>
      <c r="AJ13" s="111"/>
      <c r="AK13" s="111"/>
      <c r="AL13" s="112"/>
    </row>
    <row r="14" spans="1:43" s="3" customFormat="1" ht="201.75" customHeight="1" x14ac:dyDescent="0.25">
      <c r="A14" s="219"/>
      <c r="B14" s="216"/>
      <c r="C14" s="12" t="s">
        <v>193</v>
      </c>
      <c r="D14" s="12" t="s">
        <v>194</v>
      </c>
      <c r="E14" s="12">
        <v>7</v>
      </c>
      <c r="F14" s="12" t="str" cm="1">
        <f t="array" ref="F14">_xlfn.SWITCH(E14,1,"m",2,"m",3,"m",4,"M2",5,"M2",6,"M1",7,"M1",8,"C",9,"C",10,"S/R")</f>
        <v>M1</v>
      </c>
      <c r="G14" s="12" t="s">
        <v>27</v>
      </c>
      <c r="H14" s="12">
        <v>3</v>
      </c>
      <c r="I14" s="12">
        <f t="shared" si="2"/>
        <v>21</v>
      </c>
      <c r="J14" s="13" t="s">
        <v>336</v>
      </c>
      <c r="K14" s="12" t="s">
        <v>19</v>
      </c>
      <c r="L14" s="22">
        <v>8</v>
      </c>
      <c r="M14" s="22">
        <f t="shared" si="3"/>
        <v>168</v>
      </c>
      <c r="N14" s="87" t="s">
        <v>195</v>
      </c>
      <c r="O14" s="92" t="s">
        <v>196</v>
      </c>
      <c r="P14" s="92" t="s">
        <v>197</v>
      </c>
      <c r="Q14" s="87" t="s">
        <v>94</v>
      </c>
      <c r="R14" s="71">
        <v>7</v>
      </c>
      <c r="S14" s="71">
        <v>2</v>
      </c>
      <c r="T14" s="71">
        <v>2</v>
      </c>
      <c r="U14" s="71">
        <f>T14*S14*R14</f>
        <v>28</v>
      </c>
      <c r="V14" s="72">
        <f>S14*R14</f>
        <v>14</v>
      </c>
      <c r="W14" s="114"/>
      <c r="X14" s="111"/>
      <c r="Y14" s="111"/>
      <c r="Z14" s="111"/>
      <c r="AA14" s="111"/>
      <c r="AB14" s="111"/>
      <c r="AC14" s="111"/>
      <c r="AD14" s="111"/>
      <c r="AE14" s="111"/>
      <c r="AF14" s="111"/>
      <c r="AG14" s="111"/>
      <c r="AH14" s="111"/>
      <c r="AI14" s="111"/>
      <c r="AJ14" s="111"/>
      <c r="AK14" s="111"/>
      <c r="AL14" s="112"/>
    </row>
    <row r="15" spans="1:43" s="3" customFormat="1" ht="189.75" x14ac:dyDescent="0.25">
      <c r="A15" s="219"/>
      <c r="B15" s="216"/>
      <c r="C15" s="29" t="s">
        <v>88</v>
      </c>
      <c r="D15" s="12" t="s">
        <v>89</v>
      </c>
      <c r="E15" s="29">
        <v>8</v>
      </c>
      <c r="F15" s="12" t="str" cm="1">
        <f t="array" ref="F15">_xlfn.SWITCH(E15,1,"m",2,"m",3,"m",4,"M2",5,"M2",6,"M1",7,"M1",8,"C",9,"C",10,"S/R")</f>
        <v>C</v>
      </c>
      <c r="G15" s="29" t="s">
        <v>198</v>
      </c>
      <c r="H15" s="29">
        <v>3</v>
      </c>
      <c r="I15" s="12">
        <f t="shared" si="2"/>
        <v>24</v>
      </c>
      <c r="J15" s="13" t="s">
        <v>337</v>
      </c>
      <c r="K15" s="73" t="s">
        <v>90</v>
      </c>
      <c r="L15" s="22">
        <v>6</v>
      </c>
      <c r="M15" s="22">
        <f t="shared" si="3"/>
        <v>144</v>
      </c>
      <c r="N15" s="29" t="s">
        <v>199</v>
      </c>
      <c r="O15" s="75" t="s">
        <v>200</v>
      </c>
      <c r="P15" s="75" t="s">
        <v>201</v>
      </c>
      <c r="Q15" s="87" t="s">
        <v>94</v>
      </c>
      <c r="R15" s="117">
        <v>8</v>
      </c>
      <c r="S15" s="117">
        <v>2</v>
      </c>
      <c r="T15" s="117">
        <v>6</v>
      </c>
      <c r="U15" s="71">
        <f>T15*S15*R15</f>
        <v>96</v>
      </c>
      <c r="V15" s="72">
        <f>S15*R15</f>
        <v>16</v>
      </c>
      <c r="W15" s="114"/>
      <c r="X15" s="111"/>
      <c r="Y15" s="111"/>
      <c r="Z15" s="111"/>
      <c r="AA15" s="111"/>
      <c r="AB15" s="111"/>
      <c r="AC15" s="111"/>
      <c r="AD15" s="111"/>
      <c r="AE15" s="111"/>
      <c r="AF15" s="111"/>
      <c r="AG15" s="111"/>
      <c r="AH15" s="111"/>
      <c r="AI15" s="111"/>
      <c r="AJ15" s="111"/>
      <c r="AK15" s="111"/>
      <c r="AL15" s="112"/>
    </row>
    <row r="16" spans="1:43" s="3" customFormat="1" ht="133.5" x14ac:dyDescent="0.25">
      <c r="A16" s="219"/>
      <c r="B16" s="216"/>
      <c r="C16" s="12" t="s">
        <v>202</v>
      </c>
      <c r="D16" s="12" t="s">
        <v>45</v>
      </c>
      <c r="E16" s="12">
        <v>7</v>
      </c>
      <c r="F16" s="12" t="str" cm="1">
        <f t="array" ref="F16">_xlfn.SWITCH(E16,1,"m",2,"m",3,"m",4,"M2",5,"M2",6,"M1",7,"M1",8,"C",9,"C",10,"S/R")</f>
        <v>M1</v>
      </c>
      <c r="G16" s="12" t="s">
        <v>87</v>
      </c>
      <c r="H16" s="12">
        <v>3</v>
      </c>
      <c r="I16" s="12">
        <f t="shared" si="2"/>
        <v>21</v>
      </c>
      <c r="J16" s="13" t="s">
        <v>338</v>
      </c>
      <c r="K16" s="12" t="s">
        <v>203</v>
      </c>
      <c r="L16" s="22">
        <v>6</v>
      </c>
      <c r="M16" s="22">
        <f t="shared" si="3"/>
        <v>126</v>
      </c>
      <c r="N16" s="29" t="s">
        <v>204</v>
      </c>
      <c r="O16" s="75" t="s">
        <v>148</v>
      </c>
      <c r="P16" s="75" t="s">
        <v>205</v>
      </c>
      <c r="Q16" s="87" t="s">
        <v>94</v>
      </c>
      <c r="R16" s="117">
        <v>7</v>
      </c>
      <c r="S16" s="117">
        <v>2</v>
      </c>
      <c r="T16" s="117">
        <v>6</v>
      </c>
      <c r="U16" s="117">
        <f>S16*R16*T16</f>
        <v>84</v>
      </c>
      <c r="V16" s="141">
        <f>S16*R16</f>
        <v>14</v>
      </c>
      <c r="W16" s="114"/>
      <c r="X16" s="111"/>
      <c r="Y16" s="111"/>
      <c r="Z16" s="111"/>
      <c r="AA16" s="111"/>
      <c r="AB16" s="111"/>
      <c r="AC16" s="111"/>
      <c r="AD16" s="111"/>
      <c r="AE16" s="111"/>
      <c r="AF16" s="111"/>
      <c r="AG16" s="111"/>
      <c r="AH16" s="111"/>
      <c r="AI16" s="111"/>
      <c r="AJ16" s="111"/>
      <c r="AK16" s="111"/>
      <c r="AL16" s="112"/>
    </row>
    <row r="17" spans="1:43" s="3" customFormat="1" ht="133.5" x14ac:dyDescent="0.25">
      <c r="A17" s="219"/>
      <c r="B17" s="216"/>
      <c r="C17" s="12" t="s">
        <v>206</v>
      </c>
      <c r="D17" s="12" t="s">
        <v>164</v>
      </c>
      <c r="E17" s="12">
        <v>7</v>
      </c>
      <c r="F17" s="12" t="str" cm="1">
        <f t="array" ref="F17">_xlfn.SWITCH(E17,1,"m",2,"m",3,"m",4,"M2",5,"M2",6,"M1",7,"M1",8,"C",9,"C",10,"S/R")</f>
        <v>M1</v>
      </c>
      <c r="G17" s="12" t="s">
        <v>87</v>
      </c>
      <c r="H17" s="12">
        <v>4</v>
      </c>
      <c r="I17" s="12">
        <f t="shared" si="2"/>
        <v>28</v>
      </c>
      <c r="J17" s="13" t="s">
        <v>339</v>
      </c>
      <c r="K17" s="73" t="s">
        <v>150</v>
      </c>
      <c r="L17" s="22">
        <v>6</v>
      </c>
      <c r="M17" s="22">
        <f t="shared" si="3"/>
        <v>168</v>
      </c>
      <c r="N17" s="29" t="s">
        <v>149</v>
      </c>
      <c r="O17" s="75" t="s">
        <v>151</v>
      </c>
      <c r="P17" s="75" t="s">
        <v>334</v>
      </c>
      <c r="Q17" s="118"/>
      <c r="R17" s="117">
        <v>7</v>
      </c>
      <c r="S17" s="117">
        <v>3</v>
      </c>
      <c r="T17" s="117">
        <v>3</v>
      </c>
      <c r="U17" s="117">
        <f>S17*R17*T17</f>
        <v>63</v>
      </c>
      <c r="V17" s="141">
        <f>S17*R17</f>
        <v>21</v>
      </c>
      <c r="W17" s="114"/>
      <c r="X17" s="111"/>
      <c r="Y17" s="111"/>
      <c r="Z17" s="111"/>
      <c r="AA17" s="111"/>
      <c r="AB17" s="111"/>
      <c r="AC17" s="111"/>
      <c r="AD17" s="111"/>
      <c r="AE17" s="111"/>
      <c r="AF17" s="111"/>
      <c r="AG17" s="111"/>
      <c r="AH17" s="111"/>
      <c r="AI17" s="111"/>
      <c r="AJ17" s="111"/>
      <c r="AK17" s="111"/>
      <c r="AL17" s="112"/>
    </row>
    <row r="18" spans="1:43" s="3" customFormat="1" ht="133.5" x14ac:dyDescent="0.25">
      <c r="A18" s="219"/>
      <c r="B18" s="216"/>
      <c r="C18" s="12" t="s">
        <v>108</v>
      </c>
      <c r="D18" s="12" t="s">
        <v>109</v>
      </c>
      <c r="E18" s="12">
        <v>5</v>
      </c>
      <c r="F18" s="12" t="str" cm="1">
        <f t="array" ref="F18">_xlfn.SWITCH(E18,1,"m",2,"m",3,"m",4,"M2",5,"M2",6,"M1",7,"M1",8,"C",9,"C",10,"S/R")</f>
        <v>M2</v>
      </c>
      <c r="G18" s="12" t="s">
        <v>110</v>
      </c>
      <c r="H18" s="12">
        <v>3</v>
      </c>
      <c r="I18" s="12">
        <f t="shared" si="2"/>
        <v>15</v>
      </c>
      <c r="J18" s="13" t="s">
        <v>340</v>
      </c>
      <c r="K18" s="73" t="s">
        <v>19</v>
      </c>
      <c r="L18" s="22">
        <v>6</v>
      </c>
      <c r="M18" s="22">
        <f t="shared" si="3"/>
        <v>90</v>
      </c>
      <c r="N18" s="29"/>
      <c r="O18" s="75"/>
      <c r="P18" s="75"/>
      <c r="Q18" s="118"/>
      <c r="R18" s="117"/>
      <c r="S18" s="117"/>
      <c r="T18" s="117"/>
      <c r="U18" s="117"/>
      <c r="V18" s="141"/>
      <c r="W18" s="114"/>
      <c r="X18" s="111"/>
      <c r="Y18" s="111"/>
      <c r="Z18" s="111"/>
      <c r="AA18" s="111"/>
      <c r="AB18" s="111"/>
      <c r="AC18" s="111"/>
      <c r="AD18" s="111"/>
      <c r="AE18" s="111"/>
      <c r="AF18" s="111"/>
      <c r="AG18" s="111"/>
      <c r="AH18" s="111"/>
      <c r="AI18" s="111"/>
      <c r="AJ18" s="111"/>
      <c r="AK18" s="111"/>
      <c r="AL18" s="112"/>
    </row>
    <row r="19" spans="1:43" s="3" customFormat="1" ht="131.25" hidden="1" x14ac:dyDescent="0.25">
      <c r="A19" s="219"/>
      <c r="B19" s="216"/>
      <c r="C19" s="12" t="s">
        <v>111</v>
      </c>
      <c r="D19" s="12" t="s">
        <v>112</v>
      </c>
      <c r="E19" s="12">
        <v>6</v>
      </c>
      <c r="F19" s="12" t="str" cm="1">
        <f t="array" ref="F19">_xlfn.SWITCH(E19,1,"m",2,"m",3,"m",4,"M2",5,"M2",6,"M1",7,"M1",8,"C",9,"C",10,"S/R")</f>
        <v>M1</v>
      </c>
      <c r="G19" s="12" t="s">
        <v>110</v>
      </c>
      <c r="H19" s="12">
        <v>3</v>
      </c>
      <c r="I19" s="12">
        <f t="shared" si="2"/>
        <v>18</v>
      </c>
      <c r="J19" s="77" t="s">
        <v>208</v>
      </c>
      <c r="K19" s="73" t="s">
        <v>19</v>
      </c>
      <c r="L19" s="22">
        <v>7</v>
      </c>
      <c r="M19" s="22">
        <f t="shared" si="3"/>
        <v>126</v>
      </c>
      <c r="N19" s="29" t="s">
        <v>149</v>
      </c>
      <c r="O19" s="75" t="s">
        <v>151</v>
      </c>
      <c r="P19" s="75" t="s">
        <v>207</v>
      </c>
      <c r="Q19" s="118"/>
      <c r="R19" s="117">
        <v>7</v>
      </c>
      <c r="S19" s="117">
        <v>3</v>
      </c>
      <c r="T19" s="117">
        <v>3</v>
      </c>
      <c r="U19" s="117">
        <f>S19*R19*T19</f>
        <v>63</v>
      </c>
      <c r="V19" s="141">
        <f>S19*R19</f>
        <v>21</v>
      </c>
    </row>
    <row r="20" spans="1:43" s="3" customFormat="1" ht="75" x14ac:dyDescent="0.25">
      <c r="A20" s="219"/>
      <c r="B20" s="216"/>
      <c r="C20" s="225" t="s">
        <v>180</v>
      </c>
      <c r="D20" s="16" t="s">
        <v>14</v>
      </c>
      <c r="E20" s="16">
        <v>8</v>
      </c>
      <c r="F20" s="12" t="str" cm="1">
        <f t="array" ref="F20">_xlfn.SWITCH(E20,1,"m",2,"m",3,"m",4,"M2",5,"M2",6,"M1",7,"M1",8,"C",9,"C",10,"S/R")</f>
        <v>C</v>
      </c>
      <c r="G20" s="16" t="s">
        <v>47</v>
      </c>
      <c r="H20" s="16">
        <v>2</v>
      </c>
      <c r="I20" s="12">
        <f t="shared" si="2"/>
        <v>16</v>
      </c>
      <c r="J20" s="119" t="s">
        <v>209</v>
      </c>
      <c r="K20" s="64" t="s">
        <v>35</v>
      </c>
      <c r="L20" s="59">
        <v>6</v>
      </c>
      <c r="M20" s="59">
        <f t="shared" ref="M20:M32" si="4">E20*H20*L20</f>
        <v>96</v>
      </c>
      <c r="N20" s="29"/>
      <c r="O20" s="93"/>
      <c r="P20" s="93"/>
      <c r="Q20" s="120"/>
      <c r="R20" s="11"/>
      <c r="S20" s="11"/>
      <c r="T20" s="11"/>
      <c r="U20" s="11"/>
      <c r="V20" s="14"/>
      <c r="W20" s="114"/>
      <c r="X20" s="111"/>
      <c r="Y20" s="111"/>
      <c r="Z20" s="111"/>
      <c r="AA20" s="111"/>
      <c r="AB20" s="111"/>
      <c r="AC20" s="111"/>
      <c r="AD20" s="111"/>
      <c r="AE20" s="111"/>
      <c r="AF20" s="111"/>
      <c r="AG20" s="111"/>
      <c r="AH20" s="111"/>
      <c r="AI20" s="111"/>
      <c r="AJ20" s="111"/>
      <c r="AK20" s="111"/>
      <c r="AL20" s="112"/>
    </row>
    <row r="21" spans="1:43" customFormat="1" ht="109.5" customHeight="1" x14ac:dyDescent="0.25">
      <c r="A21" s="219"/>
      <c r="B21" s="216"/>
      <c r="C21" s="225"/>
      <c r="D21" s="16" t="s">
        <v>15</v>
      </c>
      <c r="E21" s="16">
        <v>7</v>
      </c>
      <c r="F21" s="12" t="str" cm="1">
        <f t="array" ref="F21">_xlfn.SWITCH(E21,1,"m",2,"m",3,"m",4,"M2",5,"M2",6,"M1",7,"M1",8,"C",9,"C",10,"S/R")</f>
        <v>M1</v>
      </c>
      <c r="G21" s="16" t="s">
        <v>48</v>
      </c>
      <c r="H21" s="16">
        <v>2</v>
      </c>
      <c r="I21" s="12">
        <f t="shared" si="2"/>
        <v>14</v>
      </c>
      <c r="J21" s="119" t="s">
        <v>210</v>
      </c>
      <c r="K21" s="64" t="s">
        <v>152</v>
      </c>
      <c r="L21" s="22">
        <v>6</v>
      </c>
      <c r="M21" s="59">
        <f t="shared" si="4"/>
        <v>84</v>
      </c>
      <c r="N21" s="77"/>
      <c r="O21" s="92"/>
      <c r="P21" s="92"/>
      <c r="Q21" s="87"/>
      <c r="R21" s="11"/>
      <c r="S21" s="11"/>
      <c r="T21" s="11"/>
      <c r="U21" s="11"/>
      <c r="V21" s="14"/>
      <c r="W21" s="114"/>
      <c r="X21" s="111"/>
      <c r="Y21" s="111"/>
      <c r="Z21" s="111"/>
      <c r="AA21" s="111"/>
      <c r="AB21" s="111"/>
      <c r="AC21" s="111"/>
      <c r="AD21" s="111"/>
      <c r="AE21" s="111"/>
      <c r="AF21" s="111"/>
      <c r="AG21" s="111"/>
      <c r="AH21" s="111"/>
      <c r="AI21" s="111"/>
      <c r="AJ21" s="111"/>
      <c r="AK21" s="111"/>
      <c r="AL21" s="112"/>
      <c r="AM21" s="3"/>
      <c r="AN21" s="3"/>
      <c r="AO21" s="3"/>
      <c r="AP21" s="3"/>
      <c r="AQ21" s="3"/>
    </row>
    <row r="22" spans="1:43" customFormat="1" ht="300" x14ac:dyDescent="0.25">
      <c r="A22" s="212" t="s">
        <v>28</v>
      </c>
      <c r="B22" s="214" t="s">
        <v>13</v>
      </c>
      <c r="C22" s="58" t="s">
        <v>153</v>
      </c>
      <c r="D22" s="28" t="s">
        <v>211</v>
      </c>
      <c r="E22" s="48">
        <v>7</v>
      </c>
      <c r="F22" s="12" t="str" cm="1">
        <f t="array" ref="F22">_xlfn.SWITCH(E22,1,"m",2,"m",3,"m",4,"M2",5,"M2",6,"M1",7,"M1",8,"C",9,"C",10,"S/R")</f>
        <v>M1</v>
      </c>
      <c r="G22" s="48" t="s">
        <v>212</v>
      </c>
      <c r="H22" s="15">
        <v>8</v>
      </c>
      <c r="I22" s="12">
        <f t="shared" si="2"/>
        <v>56</v>
      </c>
      <c r="J22" s="28" t="s">
        <v>213</v>
      </c>
      <c r="K22" s="48" t="s">
        <v>113</v>
      </c>
      <c r="L22" s="48">
        <v>6</v>
      </c>
      <c r="M22" s="12">
        <f t="shared" si="4"/>
        <v>336</v>
      </c>
      <c r="N22" s="28" t="s">
        <v>351</v>
      </c>
      <c r="O22" s="94" t="s">
        <v>353</v>
      </c>
      <c r="P22" s="94" t="s">
        <v>352</v>
      </c>
      <c r="Q22" s="94" t="s">
        <v>94</v>
      </c>
      <c r="R22" s="96">
        <v>7</v>
      </c>
      <c r="S22" s="96">
        <v>2</v>
      </c>
      <c r="T22" s="96">
        <v>6</v>
      </c>
      <c r="U22" s="34">
        <f>T22*S22*R22</f>
        <v>84</v>
      </c>
      <c r="V22" s="72">
        <f>S22*R22</f>
        <v>14</v>
      </c>
      <c r="W22" s="114"/>
      <c r="X22" s="111"/>
      <c r="Y22" s="111"/>
      <c r="Z22" s="111"/>
      <c r="AA22" s="111"/>
      <c r="AB22" s="111"/>
      <c r="AC22" s="111"/>
      <c r="AD22" s="111"/>
      <c r="AE22" s="111"/>
      <c r="AF22" s="111"/>
      <c r="AG22" s="111"/>
      <c r="AH22" s="111"/>
      <c r="AI22" s="111"/>
      <c r="AJ22" s="111"/>
      <c r="AK22" s="111"/>
      <c r="AL22" s="112"/>
    </row>
    <row r="23" spans="1:43" s="31" customFormat="1" ht="243.75" x14ac:dyDescent="0.25">
      <c r="A23" s="212"/>
      <c r="B23" s="214"/>
      <c r="C23" s="58" t="s">
        <v>214</v>
      </c>
      <c r="D23" s="28" t="s">
        <v>215</v>
      </c>
      <c r="E23" s="28">
        <v>8</v>
      </c>
      <c r="F23" s="12" t="str" cm="1">
        <f t="array" ref="F23">_xlfn.SWITCH(E23,1,"m",2,"m",3,"m",4,"M2",5,"M2",6,"M1",7,"M1",8,"C",9,"C",10,"S/R")</f>
        <v>C</v>
      </c>
      <c r="G23" s="48" t="s">
        <v>114</v>
      </c>
      <c r="H23" s="48">
        <v>8</v>
      </c>
      <c r="I23" s="12">
        <f t="shared" si="2"/>
        <v>64</v>
      </c>
      <c r="J23" s="28" t="s">
        <v>213</v>
      </c>
      <c r="K23" s="15" t="s">
        <v>92</v>
      </c>
      <c r="L23" s="15">
        <v>4</v>
      </c>
      <c r="M23" s="22">
        <f t="shared" si="4"/>
        <v>256</v>
      </c>
      <c r="N23" s="94" t="s">
        <v>216</v>
      </c>
      <c r="O23" s="97" t="s">
        <v>217</v>
      </c>
      <c r="P23" s="97" t="s">
        <v>201</v>
      </c>
      <c r="Q23" s="58" t="s">
        <v>94</v>
      </c>
      <c r="R23" s="39">
        <v>8</v>
      </c>
      <c r="S23" s="39">
        <v>3</v>
      </c>
      <c r="T23" s="39">
        <v>4</v>
      </c>
      <c r="U23" s="34">
        <f>T23*S23*R23</f>
        <v>96</v>
      </c>
      <c r="V23" s="72">
        <f>S23*R23</f>
        <v>24</v>
      </c>
      <c r="W23" s="114"/>
      <c r="X23" s="111"/>
      <c r="Y23" s="111"/>
      <c r="Z23" s="111"/>
      <c r="AA23" s="111"/>
      <c r="AB23" s="111"/>
      <c r="AC23" s="111"/>
      <c r="AD23" s="111"/>
      <c r="AE23" s="111"/>
      <c r="AF23" s="111"/>
      <c r="AG23" s="111"/>
      <c r="AH23" s="111"/>
      <c r="AI23" s="111"/>
      <c r="AJ23" s="111"/>
      <c r="AK23" s="111"/>
      <c r="AL23" s="112"/>
      <c r="AM23"/>
      <c r="AN23"/>
      <c r="AO23"/>
      <c r="AP23"/>
      <c r="AQ23"/>
    </row>
    <row r="24" spans="1:43" s="31" customFormat="1" ht="409.5" x14ac:dyDescent="0.25">
      <c r="A24" s="212"/>
      <c r="B24" s="214"/>
      <c r="C24" s="121" t="s">
        <v>218</v>
      </c>
      <c r="D24" s="48" t="s">
        <v>115</v>
      </c>
      <c r="E24" s="48">
        <v>8</v>
      </c>
      <c r="F24" s="12" t="str" cm="1">
        <f t="array" ref="F24">_xlfn.SWITCH(E24,1,"m",2,"m",3,"m",4,"M2",5,"M2",6,"M1",7,"M1",8,"C",9,"C",10,"S/R")</f>
        <v>C</v>
      </c>
      <c r="G24" s="48" t="s">
        <v>219</v>
      </c>
      <c r="H24" s="48">
        <v>4</v>
      </c>
      <c r="I24" s="12">
        <f t="shared" si="2"/>
        <v>32</v>
      </c>
      <c r="J24" s="28" t="s">
        <v>213</v>
      </c>
      <c r="K24" s="15" t="s">
        <v>92</v>
      </c>
      <c r="L24" s="48">
        <v>6</v>
      </c>
      <c r="M24" s="12">
        <f t="shared" si="4"/>
        <v>192</v>
      </c>
      <c r="N24" s="97" t="s">
        <v>220</v>
      </c>
      <c r="O24" s="97" t="s">
        <v>221</v>
      </c>
      <c r="P24" s="97" t="s">
        <v>123</v>
      </c>
      <c r="Q24" s="97" t="s">
        <v>94</v>
      </c>
      <c r="R24" s="43">
        <v>8</v>
      </c>
      <c r="S24" s="43">
        <v>3</v>
      </c>
      <c r="T24" s="43">
        <v>4</v>
      </c>
      <c r="U24" s="117">
        <f t="shared" ref="U24:U26" si="5">S24*R24*T24</f>
        <v>96</v>
      </c>
      <c r="V24" s="141">
        <f t="shared" ref="V24:V26" si="6">S24*R24</f>
        <v>24</v>
      </c>
      <c r="W24" s="114"/>
      <c r="X24" s="111"/>
      <c r="Y24" s="111"/>
      <c r="Z24" s="111"/>
      <c r="AA24" s="111"/>
      <c r="AB24" s="111"/>
      <c r="AC24" s="111"/>
      <c r="AD24" s="111"/>
      <c r="AE24" s="111"/>
      <c r="AF24" s="111"/>
      <c r="AG24" s="111"/>
      <c r="AH24" s="111"/>
      <c r="AI24" s="111"/>
      <c r="AJ24" s="111"/>
      <c r="AK24" s="111"/>
      <c r="AL24" s="112"/>
    </row>
    <row r="25" spans="1:43" s="31" customFormat="1" ht="225" x14ac:dyDescent="0.25">
      <c r="A25" s="212"/>
      <c r="B25" s="214"/>
      <c r="C25" s="66" t="s">
        <v>222</v>
      </c>
      <c r="D25" s="48" t="s">
        <v>165</v>
      </c>
      <c r="E25" s="28">
        <v>8</v>
      </c>
      <c r="F25" s="12" t="str" cm="1">
        <f t="array" ref="F25">_xlfn.SWITCH(E25,1,"m",2,"m",3,"m",4,"M2",5,"M2",6,"M1",7,"M1",8,"C",9,"C",10,"S/R")</f>
        <v>C</v>
      </c>
      <c r="G25" s="48" t="s">
        <v>91</v>
      </c>
      <c r="H25" s="48">
        <v>4</v>
      </c>
      <c r="I25" s="12">
        <f t="shared" si="2"/>
        <v>32</v>
      </c>
      <c r="J25" s="28" t="s">
        <v>223</v>
      </c>
      <c r="K25" s="15" t="s">
        <v>92</v>
      </c>
      <c r="L25" s="48">
        <v>6</v>
      </c>
      <c r="M25" s="12">
        <f t="shared" si="4"/>
        <v>192</v>
      </c>
      <c r="N25" s="97" t="s">
        <v>224</v>
      </c>
      <c r="O25" s="94" t="s">
        <v>225</v>
      </c>
      <c r="P25" s="94" t="s">
        <v>116</v>
      </c>
      <c r="Q25" s="94" t="s">
        <v>94</v>
      </c>
      <c r="R25" s="39">
        <v>8</v>
      </c>
      <c r="S25" s="39">
        <v>2</v>
      </c>
      <c r="T25" s="39">
        <v>4</v>
      </c>
      <c r="U25" s="71">
        <f t="shared" si="5"/>
        <v>64</v>
      </c>
      <c r="V25" s="72">
        <f t="shared" si="6"/>
        <v>16</v>
      </c>
      <c r="W25" s="114"/>
      <c r="X25" s="111"/>
      <c r="Y25" s="111"/>
      <c r="Z25" s="111"/>
      <c r="AA25" s="111"/>
      <c r="AB25" s="111"/>
      <c r="AC25" s="111"/>
      <c r="AD25" s="111"/>
      <c r="AE25" s="111"/>
      <c r="AF25" s="111"/>
      <c r="AG25" s="111"/>
      <c r="AH25" s="111"/>
      <c r="AI25" s="111"/>
      <c r="AJ25" s="111"/>
      <c r="AK25" s="111"/>
      <c r="AL25" s="112"/>
    </row>
    <row r="26" spans="1:43" customFormat="1" ht="409.5" x14ac:dyDescent="0.25">
      <c r="A26" s="212"/>
      <c r="B26" s="214"/>
      <c r="C26" s="48" t="s">
        <v>117</v>
      </c>
      <c r="D26" s="48" t="s">
        <v>93</v>
      </c>
      <c r="E26" s="48">
        <v>7</v>
      </c>
      <c r="F26" s="12" t="str" cm="1">
        <f t="array" ref="F26">_xlfn.SWITCH(E26,1,"m",2,"m",3,"m",4,"M2",5,"M2",6,"M1",7,"M1",8,"C",9,"C",10,"S/R")</f>
        <v>M1</v>
      </c>
      <c r="G26" s="48" t="s">
        <v>226</v>
      </c>
      <c r="H26" s="48">
        <v>7</v>
      </c>
      <c r="I26" s="12">
        <f t="shared" si="2"/>
        <v>49</v>
      </c>
      <c r="J26" s="58" t="s">
        <v>213</v>
      </c>
      <c r="K26" s="15" t="s">
        <v>92</v>
      </c>
      <c r="L26" s="48">
        <v>6</v>
      </c>
      <c r="M26" s="12">
        <f t="shared" si="4"/>
        <v>294</v>
      </c>
      <c r="N26" s="152" t="s">
        <v>316</v>
      </c>
      <c r="O26" s="94" t="s">
        <v>227</v>
      </c>
      <c r="P26" s="94" t="s">
        <v>228</v>
      </c>
      <c r="Q26" s="94" t="s">
        <v>346</v>
      </c>
      <c r="R26" s="39">
        <v>7</v>
      </c>
      <c r="S26" s="39">
        <v>2</v>
      </c>
      <c r="T26" s="39">
        <v>6</v>
      </c>
      <c r="U26" s="71">
        <f t="shared" si="5"/>
        <v>84</v>
      </c>
      <c r="V26" s="72">
        <f t="shared" si="6"/>
        <v>14</v>
      </c>
      <c r="W26" s="114"/>
      <c r="X26" s="111"/>
      <c r="Y26" s="111"/>
      <c r="Z26" s="111"/>
      <c r="AA26" s="111"/>
      <c r="AB26" s="111"/>
      <c r="AC26" s="111"/>
      <c r="AD26" s="111"/>
      <c r="AE26" s="111"/>
      <c r="AF26" s="111"/>
      <c r="AG26" s="111"/>
      <c r="AH26" s="111"/>
      <c r="AI26" s="111"/>
      <c r="AJ26" s="111"/>
      <c r="AK26" s="111"/>
      <c r="AL26" s="112"/>
      <c r="AM26" s="31"/>
      <c r="AN26" s="31"/>
      <c r="AO26" s="31"/>
      <c r="AP26" s="31"/>
      <c r="AQ26" s="31"/>
    </row>
    <row r="27" spans="1:43" customFormat="1" ht="187.5" x14ac:dyDescent="0.25">
      <c r="A27" s="212"/>
      <c r="B27" s="214"/>
      <c r="C27" s="48" t="s">
        <v>229</v>
      </c>
      <c r="D27" s="48" t="s">
        <v>230</v>
      </c>
      <c r="E27" s="48">
        <v>7</v>
      </c>
      <c r="F27" s="12" t="str" cm="1">
        <f t="array" ref="F27">_xlfn.SWITCH(E27,1,"m",2,"m",3,"m",4,"M2",5,"M2",6,"M1",7,"M1",8,"C",9,"C",10,"S/R")</f>
        <v>M1</v>
      </c>
      <c r="G27" s="47" t="s">
        <v>231</v>
      </c>
      <c r="H27" s="48">
        <v>2</v>
      </c>
      <c r="I27" s="12">
        <f t="shared" si="2"/>
        <v>14</v>
      </c>
      <c r="J27" s="58" t="s">
        <v>232</v>
      </c>
      <c r="K27" s="15" t="s">
        <v>118</v>
      </c>
      <c r="L27" s="48">
        <v>7</v>
      </c>
      <c r="M27" s="12">
        <f t="shared" si="4"/>
        <v>98</v>
      </c>
      <c r="N27" s="98"/>
      <c r="O27" s="95"/>
      <c r="P27" s="95"/>
      <c r="Q27" s="58"/>
      <c r="R27" s="39"/>
      <c r="S27" s="39"/>
      <c r="T27" s="39"/>
      <c r="U27" s="71"/>
      <c r="V27" s="72"/>
      <c r="W27" s="114"/>
      <c r="X27" s="111"/>
      <c r="Y27" s="111"/>
      <c r="Z27" s="111"/>
      <c r="AA27" s="111"/>
      <c r="AB27" s="111"/>
      <c r="AC27" s="111"/>
      <c r="AD27" s="111"/>
      <c r="AE27" s="111"/>
      <c r="AF27" s="111"/>
      <c r="AG27" s="111"/>
      <c r="AH27" s="111"/>
      <c r="AI27" s="111"/>
      <c r="AJ27" s="111"/>
      <c r="AK27" s="111"/>
      <c r="AL27" s="112"/>
    </row>
    <row r="28" spans="1:43" customFormat="1" ht="206.25" x14ac:dyDescent="0.25">
      <c r="A28" s="212"/>
      <c r="B28" s="214"/>
      <c r="C28" s="48" t="s">
        <v>233</v>
      </c>
      <c r="D28" s="48" t="s">
        <v>93</v>
      </c>
      <c r="E28" s="48">
        <v>7</v>
      </c>
      <c r="F28" s="12" t="str" cm="1">
        <f t="array" ref="F28">_xlfn.SWITCH(E28,1,"m",2,"m",3,"m",4,"M2",5,"M2",6,"M1",7,"M1",8,"C",9,"C",10,"S/R")</f>
        <v>M1</v>
      </c>
      <c r="G28" s="48" t="s">
        <v>119</v>
      </c>
      <c r="H28" s="48">
        <v>2</v>
      </c>
      <c r="I28" s="12">
        <f t="shared" si="2"/>
        <v>14</v>
      </c>
      <c r="J28" s="58" t="s">
        <v>234</v>
      </c>
      <c r="K28" s="15" t="s">
        <v>92</v>
      </c>
      <c r="L28" s="48">
        <v>6</v>
      </c>
      <c r="M28" s="12">
        <f t="shared" si="4"/>
        <v>84</v>
      </c>
      <c r="N28" s="98"/>
      <c r="O28" s="95"/>
      <c r="P28" s="95"/>
      <c r="Q28" s="58"/>
      <c r="R28" s="39"/>
      <c r="S28" s="39"/>
      <c r="T28" s="39"/>
      <c r="U28" s="71"/>
      <c r="V28" s="72"/>
      <c r="W28" s="114"/>
      <c r="X28" s="111"/>
      <c r="Y28" s="111"/>
      <c r="Z28" s="111"/>
      <c r="AA28" s="111"/>
      <c r="AB28" s="111"/>
      <c r="AC28" s="111"/>
      <c r="AD28" s="111"/>
      <c r="AE28" s="111"/>
      <c r="AF28" s="111"/>
      <c r="AG28" s="111"/>
      <c r="AH28" s="111"/>
      <c r="AI28" s="111"/>
      <c r="AJ28" s="111"/>
      <c r="AK28" s="111"/>
      <c r="AL28" s="112"/>
    </row>
    <row r="29" spans="1:43" customFormat="1" ht="93" customHeight="1" x14ac:dyDescent="0.25">
      <c r="A29" s="212"/>
      <c r="B29" s="214"/>
      <c r="C29" s="48" t="s">
        <v>235</v>
      </c>
      <c r="D29" s="48" t="s">
        <v>120</v>
      </c>
      <c r="E29" s="48">
        <v>5</v>
      </c>
      <c r="F29" s="12" t="str" cm="1">
        <f t="array" ref="F29">_xlfn.SWITCH(E29,1,"m",2,"m",3,"m",4,"M2",5,"M2",6,"M1",7,"M1",8,"C",9,"C",10,"S/R")</f>
        <v>M2</v>
      </c>
      <c r="G29" s="48" t="s">
        <v>121</v>
      </c>
      <c r="H29" s="48">
        <v>5</v>
      </c>
      <c r="I29" s="12">
        <f t="shared" si="2"/>
        <v>25</v>
      </c>
      <c r="J29" s="58" t="s">
        <v>236</v>
      </c>
      <c r="K29" s="15" t="s">
        <v>122</v>
      </c>
      <c r="L29" s="48">
        <v>5</v>
      </c>
      <c r="M29" s="12">
        <f t="shared" si="4"/>
        <v>125</v>
      </c>
      <c r="N29" s="99" t="s">
        <v>237</v>
      </c>
      <c r="O29" s="94" t="s">
        <v>145</v>
      </c>
      <c r="P29" s="94" t="s">
        <v>238</v>
      </c>
      <c r="Q29" s="58" t="s">
        <v>94</v>
      </c>
      <c r="R29" s="39">
        <v>5</v>
      </c>
      <c r="S29" s="39">
        <v>3</v>
      </c>
      <c r="T29" s="39">
        <v>5</v>
      </c>
      <c r="U29" s="71">
        <f>T29*S29*R29</f>
        <v>75</v>
      </c>
      <c r="V29" s="72">
        <f>S29*R29</f>
        <v>15</v>
      </c>
      <c r="W29" s="114"/>
      <c r="X29" s="111"/>
      <c r="Y29" s="111"/>
      <c r="Z29" s="111"/>
      <c r="AA29" s="111"/>
      <c r="AB29" s="111"/>
      <c r="AC29" s="111"/>
      <c r="AD29" s="111"/>
      <c r="AE29" s="111"/>
      <c r="AF29" s="111"/>
      <c r="AG29" s="111"/>
      <c r="AH29" s="111"/>
      <c r="AI29" s="111"/>
      <c r="AJ29" s="111"/>
      <c r="AK29" s="111"/>
      <c r="AL29" s="112"/>
    </row>
    <row r="30" spans="1:43" customFormat="1" ht="187.5" x14ac:dyDescent="0.25">
      <c r="A30" s="212"/>
      <c r="B30" s="214"/>
      <c r="C30" s="48" t="s">
        <v>239</v>
      </c>
      <c r="D30" s="48" t="s">
        <v>124</v>
      </c>
      <c r="E30" s="48">
        <v>5</v>
      </c>
      <c r="F30" s="12" t="str" cm="1">
        <f t="array" ref="F30">_xlfn.SWITCH(E30,1,"m",2,"m",3,"m",4,"M2",5,"M2",6,"M1",7,"M1",8,"C",9,"C",10,"S/R")</f>
        <v>M2</v>
      </c>
      <c r="G30" s="48" t="s">
        <v>125</v>
      </c>
      <c r="H30" s="48">
        <v>5</v>
      </c>
      <c r="I30" s="12">
        <f t="shared" si="2"/>
        <v>25</v>
      </c>
      <c r="J30" s="58" t="s">
        <v>240</v>
      </c>
      <c r="K30" s="15" t="s">
        <v>126</v>
      </c>
      <c r="L30" s="48">
        <v>7</v>
      </c>
      <c r="M30" s="22">
        <f>L30*H30*E30</f>
        <v>175</v>
      </c>
      <c r="N30" s="28" t="s">
        <v>241</v>
      </c>
      <c r="O30" s="94" t="s">
        <v>196</v>
      </c>
      <c r="P30" s="94" t="s">
        <v>123</v>
      </c>
      <c r="Q30" s="58" t="s">
        <v>94</v>
      </c>
      <c r="R30" s="39">
        <v>5</v>
      </c>
      <c r="S30" s="39">
        <v>3</v>
      </c>
      <c r="T30" s="39">
        <v>7</v>
      </c>
      <c r="U30" s="71">
        <f>T30*S30*R30</f>
        <v>105</v>
      </c>
      <c r="V30" s="72">
        <f>S30*R30</f>
        <v>15</v>
      </c>
      <c r="W30" s="114"/>
      <c r="X30" s="111"/>
      <c r="Y30" s="111"/>
      <c r="Z30" s="111"/>
      <c r="AA30" s="111"/>
      <c r="AB30" s="111"/>
      <c r="AC30" s="111"/>
      <c r="AD30" s="111"/>
      <c r="AE30" s="111"/>
      <c r="AF30" s="111"/>
      <c r="AG30" s="111"/>
      <c r="AH30" s="111"/>
      <c r="AI30" s="111"/>
      <c r="AJ30" s="111"/>
      <c r="AK30" s="111"/>
      <c r="AL30" s="112"/>
    </row>
    <row r="31" spans="1:43" customFormat="1" ht="112.5" x14ac:dyDescent="0.25">
      <c r="A31" s="212"/>
      <c r="B31" s="214"/>
      <c r="C31" s="215" t="s">
        <v>242</v>
      </c>
      <c r="D31" s="16" t="s">
        <v>14</v>
      </c>
      <c r="E31" s="16">
        <v>8</v>
      </c>
      <c r="F31" s="12" t="str" cm="1">
        <f t="array" ref="F31">_xlfn.SWITCH(E31,1,"m",2,"m",3,"m",4,"M2",5,"M2",6,"M1",7,"M1",8,"C",9,"C",10,"S/R")</f>
        <v>C</v>
      </c>
      <c r="G31" s="16" t="s">
        <v>318</v>
      </c>
      <c r="H31" s="16">
        <v>2</v>
      </c>
      <c r="I31" s="12">
        <f t="shared" si="2"/>
        <v>16</v>
      </c>
      <c r="J31" s="122" t="s">
        <v>243</v>
      </c>
      <c r="K31" s="64" t="s">
        <v>35</v>
      </c>
      <c r="L31" s="16">
        <v>3</v>
      </c>
      <c r="M31" s="16">
        <f t="shared" si="4"/>
        <v>48</v>
      </c>
      <c r="N31" s="28"/>
      <c r="O31" s="95"/>
      <c r="P31" s="95"/>
      <c r="Q31" s="123"/>
      <c r="R31" s="39"/>
      <c r="S31" s="39"/>
      <c r="T31" s="39"/>
      <c r="U31" s="39"/>
      <c r="V31" s="100"/>
      <c r="W31" s="114"/>
      <c r="X31" s="111"/>
      <c r="Y31" s="111"/>
      <c r="Z31" s="111"/>
      <c r="AA31" s="111"/>
      <c r="AB31" s="111"/>
      <c r="AC31" s="111"/>
      <c r="AD31" s="111"/>
      <c r="AE31" s="111"/>
      <c r="AF31" s="111"/>
      <c r="AG31" s="111"/>
      <c r="AH31" s="111"/>
      <c r="AI31" s="111"/>
      <c r="AJ31" s="111"/>
      <c r="AK31" s="111"/>
      <c r="AL31" s="112"/>
    </row>
    <row r="32" spans="1:43" s="4" customFormat="1" ht="194.45" customHeight="1" x14ac:dyDescent="0.25">
      <c r="A32" s="212"/>
      <c r="B32" s="214"/>
      <c r="C32" s="215"/>
      <c r="D32" s="16" t="s">
        <v>15</v>
      </c>
      <c r="E32" s="16">
        <v>7</v>
      </c>
      <c r="F32" s="12" t="str" cm="1">
        <f t="array" ref="F32">_xlfn.SWITCH(E32,1,"m",2,"m",3,"m",4,"M2",5,"M2",6,"M1",7,"M1",8,"C",9,"C",10,"S/R")</f>
        <v>M1</v>
      </c>
      <c r="G32" s="16" t="s">
        <v>319</v>
      </c>
      <c r="H32" s="16">
        <v>2</v>
      </c>
      <c r="I32" s="12">
        <f t="shared" si="2"/>
        <v>14</v>
      </c>
      <c r="J32" s="119" t="s">
        <v>245</v>
      </c>
      <c r="K32" s="64" t="s">
        <v>152</v>
      </c>
      <c r="L32" s="16">
        <v>6</v>
      </c>
      <c r="M32" s="16">
        <f t="shared" si="4"/>
        <v>84</v>
      </c>
      <c r="N32" s="28"/>
      <c r="O32" s="95"/>
      <c r="P32" s="95"/>
      <c r="Q32" s="123"/>
      <c r="R32" s="39"/>
      <c r="S32" s="39"/>
      <c r="T32" s="39"/>
      <c r="U32" s="39"/>
      <c r="V32" s="100"/>
      <c r="W32" s="114"/>
      <c r="X32" s="111"/>
      <c r="Y32" s="111"/>
      <c r="Z32" s="111"/>
      <c r="AA32" s="111"/>
      <c r="AB32" s="111"/>
      <c r="AC32" s="111"/>
      <c r="AD32" s="111"/>
      <c r="AE32" s="111"/>
      <c r="AF32" s="111"/>
      <c r="AG32" s="111"/>
      <c r="AH32" s="111"/>
      <c r="AI32" s="111"/>
      <c r="AJ32" s="111"/>
      <c r="AK32" s="111"/>
      <c r="AL32" s="112"/>
      <c r="AM32"/>
      <c r="AN32"/>
      <c r="AO32"/>
      <c r="AP32"/>
      <c r="AQ32"/>
    </row>
    <row r="33" spans="1:43" s="4" customFormat="1" ht="302.25" x14ac:dyDescent="0.25">
      <c r="A33" s="222" t="s">
        <v>29</v>
      </c>
      <c r="B33" s="216" t="s">
        <v>246</v>
      </c>
      <c r="C33" s="225" t="s">
        <v>247</v>
      </c>
      <c r="D33" s="225" t="s">
        <v>165</v>
      </c>
      <c r="E33" s="12">
        <v>8</v>
      </c>
      <c r="F33" s="12" t="str" cm="1">
        <f t="array" ref="F33">_xlfn.SWITCH(E33,1,"m",2,"m",3,"m",4,"M2",5,"M2",6,"M1",7,"M1",8,"C",9,"C",10,"S/R")</f>
        <v>C</v>
      </c>
      <c r="G33" s="12" t="s">
        <v>154</v>
      </c>
      <c r="H33" s="12">
        <v>2</v>
      </c>
      <c r="I33" s="12">
        <f t="shared" si="2"/>
        <v>16</v>
      </c>
      <c r="J33" s="13" t="s">
        <v>341</v>
      </c>
      <c r="K33" s="12" t="s">
        <v>248</v>
      </c>
      <c r="L33" s="12">
        <v>6</v>
      </c>
      <c r="M33" s="12">
        <f>L33*H33*E33</f>
        <v>96</v>
      </c>
      <c r="N33" s="37"/>
      <c r="O33" s="80"/>
      <c r="P33" s="80"/>
      <c r="Q33" s="13"/>
      <c r="R33" s="35"/>
      <c r="S33" s="35"/>
      <c r="T33" s="35"/>
      <c r="U33" s="35"/>
      <c r="V33" s="30"/>
      <c r="W33" s="114"/>
      <c r="X33" s="111"/>
      <c r="Y33" s="111"/>
      <c r="Z33" s="111"/>
      <c r="AA33" s="111"/>
      <c r="AB33" s="111"/>
      <c r="AC33" s="111"/>
      <c r="AD33" s="111"/>
      <c r="AE33" s="111"/>
      <c r="AF33" s="111"/>
      <c r="AG33" s="111"/>
      <c r="AH33" s="111"/>
      <c r="AI33" s="111"/>
      <c r="AJ33" s="111"/>
      <c r="AK33" s="111"/>
      <c r="AL33" s="112"/>
    </row>
    <row r="34" spans="1:43" s="4" customFormat="1" ht="228" customHeight="1" x14ac:dyDescent="0.25">
      <c r="A34" s="222"/>
      <c r="B34" s="216"/>
      <c r="C34" s="225"/>
      <c r="D34" s="225"/>
      <c r="E34" s="12">
        <v>8</v>
      </c>
      <c r="F34" s="12" t="str" cm="1">
        <f t="array" ref="F34">_xlfn.SWITCH(E34,1,"m",2,"m",3,"m",4,"M2",5,"M2",6,"M1",7,"M1",8,"C",9,"C",10,"S/R")</f>
        <v>C</v>
      </c>
      <c r="G34" s="12" t="s">
        <v>65</v>
      </c>
      <c r="H34" s="12">
        <v>2</v>
      </c>
      <c r="I34" s="12">
        <f t="shared" si="2"/>
        <v>16</v>
      </c>
      <c r="J34" s="77" t="s">
        <v>249</v>
      </c>
      <c r="K34" s="12" t="s">
        <v>155</v>
      </c>
      <c r="L34" s="12">
        <v>6</v>
      </c>
      <c r="M34" s="12">
        <f>L34*H34*E34</f>
        <v>96</v>
      </c>
      <c r="N34" s="13"/>
      <c r="O34" s="80"/>
      <c r="P34" s="80"/>
      <c r="Q34" s="13"/>
      <c r="R34" s="35"/>
      <c r="S34" s="35"/>
      <c r="T34" s="35"/>
      <c r="U34" s="35"/>
      <c r="V34" s="30"/>
      <c r="W34" s="114"/>
      <c r="X34" s="111"/>
      <c r="Y34" s="111"/>
      <c r="Z34" s="111"/>
      <c r="AA34" s="111"/>
      <c r="AB34" s="111"/>
      <c r="AC34" s="111"/>
      <c r="AD34" s="111"/>
      <c r="AE34" s="111"/>
      <c r="AF34" s="111"/>
      <c r="AG34" s="111"/>
      <c r="AH34" s="111"/>
      <c r="AI34" s="111"/>
      <c r="AJ34" s="111"/>
      <c r="AK34" s="111"/>
      <c r="AL34" s="112"/>
    </row>
    <row r="35" spans="1:43" s="4" customFormat="1" ht="99.75" customHeight="1" x14ac:dyDescent="0.25">
      <c r="A35" s="222"/>
      <c r="B35" s="216"/>
      <c r="C35" s="225"/>
      <c r="D35" s="225"/>
      <c r="E35" s="12">
        <v>8</v>
      </c>
      <c r="F35" s="12" t="str" cm="1">
        <f t="array" ref="F35">_xlfn.SWITCH(E35,1,"m",2,"m",3,"m",4,"M2",5,"M2",6,"M1",7,"M1",8,"C",9,"C",10,"S/R")</f>
        <v>C</v>
      </c>
      <c r="G35" s="12" t="s">
        <v>64</v>
      </c>
      <c r="H35" s="12">
        <v>2</v>
      </c>
      <c r="I35" s="12">
        <f t="shared" si="2"/>
        <v>16</v>
      </c>
      <c r="J35" s="77" t="s">
        <v>250</v>
      </c>
      <c r="K35" s="12" t="s">
        <v>155</v>
      </c>
      <c r="L35" s="22">
        <v>5</v>
      </c>
      <c r="M35" s="12">
        <f>L35*H35*E35</f>
        <v>80</v>
      </c>
      <c r="N35" s="10"/>
      <c r="O35" s="79"/>
      <c r="P35" s="79"/>
      <c r="Q35" s="10"/>
      <c r="R35" s="11"/>
      <c r="S35" s="11"/>
      <c r="T35" s="11"/>
      <c r="U35" s="11"/>
      <c r="V35" s="30"/>
      <c r="W35" s="114"/>
      <c r="X35" s="111"/>
      <c r="Y35" s="111"/>
      <c r="Z35" s="111"/>
      <c r="AA35" s="111"/>
      <c r="AB35" s="111"/>
      <c r="AC35" s="111"/>
      <c r="AD35" s="111"/>
      <c r="AE35" s="111"/>
      <c r="AF35" s="111"/>
      <c r="AG35" s="111"/>
      <c r="AH35" s="111"/>
      <c r="AI35" s="111"/>
      <c r="AJ35" s="111"/>
      <c r="AK35" s="111"/>
      <c r="AL35" s="112"/>
    </row>
    <row r="36" spans="1:43" s="4" customFormat="1" ht="393.75" customHeight="1" x14ac:dyDescent="0.25">
      <c r="A36" s="222"/>
      <c r="B36" s="216"/>
      <c r="C36" s="12" t="s">
        <v>30</v>
      </c>
      <c r="D36" s="12" t="s">
        <v>31</v>
      </c>
      <c r="E36" s="12">
        <v>8</v>
      </c>
      <c r="F36" s="12" t="str" cm="1">
        <f t="array" ref="F36">_xlfn.SWITCH(E36,1,"m",2,"m",3,"m",4,"M2",5,"M2",6,"M1",7,"M1",8,"C",9,"C",10,"S/R")</f>
        <v>C</v>
      </c>
      <c r="G36" s="12" t="s">
        <v>156</v>
      </c>
      <c r="H36" s="12">
        <v>2</v>
      </c>
      <c r="I36" s="12">
        <f t="shared" si="2"/>
        <v>16</v>
      </c>
      <c r="J36" s="77" t="s">
        <v>251</v>
      </c>
      <c r="K36" s="22" t="s">
        <v>252</v>
      </c>
      <c r="L36" s="12">
        <v>6</v>
      </c>
      <c r="M36" s="12">
        <f>L36*H36*E36</f>
        <v>96</v>
      </c>
      <c r="N36" s="34"/>
      <c r="O36" s="79"/>
      <c r="P36" s="79"/>
      <c r="Q36" s="10"/>
      <c r="R36" s="11"/>
      <c r="S36" s="11"/>
      <c r="T36" s="11"/>
      <c r="U36" s="11"/>
      <c r="V36" s="30"/>
      <c r="W36" s="114"/>
      <c r="X36" s="111"/>
      <c r="Y36" s="111"/>
      <c r="Z36" s="111"/>
      <c r="AA36" s="111"/>
      <c r="AB36" s="111"/>
      <c r="AC36" s="111"/>
      <c r="AD36" s="111"/>
      <c r="AE36" s="111"/>
      <c r="AF36" s="111"/>
      <c r="AG36" s="111"/>
      <c r="AH36" s="111"/>
      <c r="AI36" s="111"/>
      <c r="AJ36" s="111"/>
      <c r="AK36" s="111"/>
      <c r="AL36" s="112"/>
    </row>
    <row r="37" spans="1:43" s="4" customFormat="1" ht="322.5" customHeight="1" x14ac:dyDescent="0.25">
      <c r="A37" s="222"/>
      <c r="B37" s="216"/>
      <c r="C37" s="12" t="s">
        <v>157</v>
      </c>
      <c r="D37" s="12" t="s">
        <v>165</v>
      </c>
      <c r="E37" s="12">
        <v>7</v>
      </c>
      <c r="F37" s="12" t="str" cm="1">
        <f t="array" ref="F37">_xlfn.SWITCH(E37,1,"m",2,"m",3,"m",4,"M2",5,"M2",6,"M1",7,"M1",8,"C",9,"C",10,"S/R")</f>
        <v>M1</v>
      </c>
      <c r="G37" s="12" t="s">
        <v>61</v>
      </c>
      <c r="H37" s="12">
        <v>2</v>
      </c>
      <c r="I37" s="12">
        <f t="shared" si="2"/>
        <v>14</v>
      </c>
      <c r="J37" s="77" t="s">
        <v>253</v>
      </c>
      <c r="K37" s="12" t="s">
        <v>158</v>
      </c>
      <c r="L37" s="12">
        <v>6</v>
      </c>
      <c r="M37" s="12">
        <f>L37*H37*E37</f>
        <v>84</v>
      </c>
      <c r="N37" s="34"/>
      <c r="O37" s="74"/>
      <c r="P37" s="74"/>
      <c r="Q37" s="10"/>
      <c r="R37" s="11"/>
      <c r="S37" s="11"/>
      <c r="T37" s="11"/>
      <c r="U37" s="11"/>
      <c r="V37" s="30"/>
      <c r="W37" s="114"/>
      <c r="X37" s="111"/>
      <c r="Y37" s="111"/>
      <c r="Z37" s="111"/>
      <c r="AA37" s="111"/>
      <c r="AB37" s="111"/>
      <c r="AC37" s="111"/>
      <c r="AD37" s="111"/>
      <c r="AE37" s="111"/>
      <c r="AF37" s="111"/>
      <c r="AG37" s="111"/>
      <c r="AH37" s="111"/>
      <c r="AI37" s="111"/>
      <c r="AJ37" s="111"/>
      <c r="AK37" s="111"/>
      <c r="AL37" s="112"/>
    </row>
    <row r="38" spans="1:43" s="4" customFormat="1" ht="295.5" customHeight="1" x14ac:dyDescent="0.25">
      <c r="A38" s="222"/>
      <c r="B38" s="216"/>
      <c r="C38" s="48" t="s">
        <v>254</v>
      </c>
      <c r="D38" s="28" t="s">
        <v>255</v>
      </c>
      <c r="E38" s="28">
        <v>7</v>
      </c>
      <c r="F38" s="12" t="str" cm="1">
        <f t="array" ref="F38">_xlfn.SWITCH(E38,1,"m",2,"m",3,"m",4,"M2",5,"M2",6,"M1",7,"M1",8,"C",9,"C",10,"S/R")</f>
        <v>M1</v>
      </c>
      <c r="G38" s="28" t="s">
        <v>256</v>
      </c>
      <c r="H38" s="28">
        <v>2</v>
      </c>
      <c r="I38" s="12">
        <f t="shared" si="2"/>
        <v>14</v>
      </c>
      <c r="J38" s="77" t="s">
        <v>257</v>
      </c>
      <c r="K38" s="22" t="s">
        <v>258</v>
      </c>
      <c r="L38" s="28">
        <v>7</v>
      </c>
      <c r="M38" s="12">
        <f>E38*H38*L38</f>
        <v>98</v>
      </c>
      <c r="N38" s="65"/>
      <c r="O38" s="76"/>
      <c r="P38" s="76"/>
      <c r="Q38" s="76"/>
      <c r="R38" s="78"/>
      <c r="S38" s="78"/>
      <c r="T38" s="78"/>
      <c r="U38" s="124"/>
      <c r="V38" s="143"/>
      <c r="W38" s="114"/>
      <c r="X38" s="111"/>
      <c r="Y38" s="111"/>
      <c r="Z38" s="111"/>
      <c r="AA38" s="111"/>
      <c r="AB38" s="111"/>
      <c r="AC38" s="111"/>
      <c r="AD38" s="111"/>
      <c r="AE38" s="111"/>
      <c r="AF38" s="111"/>
      <c r="AG38" s="111"/>
      <c r="AH38" s="111"/>
      <c r="AI38" s="111"/>
      <c r="AJ38" s="111"/>
      <c r="AK38" s="111"/>
      <c r="AL38" s="112"/>
    </row>
    <row r="39" spans="1:43" s="4" customFormat="1" ht="75" x14ac:dyDescent="0.25">
      <c r="A39" s="222"/>
      <c r="B39" s="216"/>
      <c r="C39" s="215" t="s">
        <v>127</v>
      </c>
      <c r="D39" s="16" t="s">
        <v>14</v>
      </c>
      <c r="E39" s="16">
        <v>8</v>
      </c>
      <c r="F39" s="12" t="str" cm="1">
        <f t="array" ref="F39">_xlfn.SWITCH(E39,1,"m",2,"m",3,"m",4,"M2",5,"M2",6,"M1",7,"M1",8,"C",9,"C",10,"S/R")</f>
        <v>C</v>
      </c>
      <c r="G39" s="16" t="s">
        <v>47</v>
      </c>
      <c r="H39" s="16">
        <v>2</v>
      </c>
      <c r="I39" s="12">
        <f t="shared" si="2"/>
        <v>16</v>
      </c>
      <c r="J39" s="119" t="s">
        <v>209</v>
      </c>
      <c r="K39" s="64" t="s">
        <v>35</v>
      </c>
      <c r="L39" s="16">
        <v>3</v>
      </c>
      <c r="M39" s="16">
        <f>E39*H39*L39</f>
        <v>48</v>
      </c>
      <c r="N39" s="65"/>
      <c r="O39" s="76"/>
      <c r="P39" s="76"/>
      <c r="Q39" s="76"/>
      <c r="R39" s="78"/>
      <c r="S39" s="78"/>
      <c r="T39" s="78"/>
      <c r="U39" s="124"/>
      <c r="V39" s="143"/>
      <c r="W39" s="114"/>
      <c r="X39" s="111"/>
      <c r="Y39" s="111"/>
      <c r="Z39" s="111"/>
      <c r="AA39" s="111"/>
      <c r="AB39" s="111"/>
      <c r="AC39" s="111"/>
      <c r="AD39" s="111"/>
      <c r="AE39" s="111"/>
      <c r="AF39" s="111"/>
      <c r="AG39" s="111"/>
      <c r="AH39" s="111"/>
      <c r="AI39" s="111"/>
      <c r="AJ39" s="111"/>
      <c r="AK39" s="111"/>
      <c r="AL39" s="112"/>
    </row>
    <row r="40" spans="1:43" customFormat="1" ht="108" customHeight="1" x14ac:dyDescent="0.25">
      <c r="A40" s="222"/>
      <c r="B40" s="216"/>
      <c r="C40" s="215"/>
      <c r="D40" s="16" t="s">
        <v>15</v>
      </c>
      <c r="E40" s="16">
        <v>7</v>
      </c>
      <c r="F40" s="12" t="str" cm="1">
        <f t="array" ref="F40">_xlfn.SWITCH(E40,1,"m",2,"m",3,"m",4,"M2",5,"M2",6,"M1",7,"M1",8,"C",9,"C",10,"S/R")</f>
        <v>M1</v>
      </c>
      <c r="G40" s="16" t="s">
        <v>48</v>
      </c>
      <c r="H40" s="16">
        <v>2</v>
      </c>
      <c r="I40" s="12">
        <f t="shared" si="2"/>
        <v>14</v>
      </c>
      <c r="J40" s="119" t="s">
        <v>210</v>
      </c>
      <c r="K40" s="64" t="s">
        <v>259</v>
      </c>
      <c r="L40" s="16">
        <v>6</v>
      </c>
      <c r="M40" s="16">
        <f>E40*H40*L40</f>
        <v>84</v>
      </c>
      <c r="N40" s="34"/>
      <c r="O40" s="79"/>
      <c r="P40" s="79"/>
      <c r="Q40" s="10"/>
      <c r="R40" s="11"/>
      <c r="S40" s="11"/>
      <c r="T40" s="11"/>
      <c r="U40" s="11"/>
      <c r="V40" s="14"/>
      <c r="W40" s="114"/>
      <c r="X40" s="111"/>
      <c r="Y40" s="111"/>
      <c r="Z40" s="111"/>
      <c r="AA40" s="111"/>
      <c r="AB40" s="111"/>
      <c r="AC40" s="111"/>
      <c r="AD40" s="111"/>
      <c r="AE40" s="111"/>
      <c r="AF40" s="111"/>
      <c r="AG40" s="111"/>
      <c r="AH40" s="111"/>
      <c r="AI40" s="111"/>
      <c r="AJ40" s="111"/>
      <c r="AK40" s="111"/>
      <c r="AL40" s="112"/>
      <c r="AM40" s="4"/>
      <c r="AN40" s="4"/>
      <c r="AO40" s="4"/>
      <c r="AP40" s="4"/>
      <c r="AQ40" s="4"/>
    </row>
    <row r="41" spans="1:43" customFormat="1" ht="112.5" x14ac:dyDescent="0.25">
      <c r="A41" s="212" t="s">
        <v>49</v>
      </c>
      <c r="B41" s="214" t="s">
        <v>46</v>
      </c>
      <c r="C41" s="225" t="s">
        <v>159</v>
      </c>
      <c r="D41" s="16" t="s">
        <v>14</v>
      </c>
      <c r="E41" s="16">
        <v>8</v>
      </c>
      <c r="F41" s="12" t="str" cm="1">
        <f t="array" ref="F41">_xlfn.SWITCH(E41,1,"m",2,"m",3,"m",4,"M2",5,"M2",6,"M1",7,"M1",8,"C",9,"C",10,"S/R")</f>
        <v>C</v>
      </c>
      <c r="G41" s="16" t="s">
        <v>176</v>
      </c>
      <c r="H41" s="16">
        <v>2</v>
      </c>
      <c r="I41" s="12">
        <f t="shared" si="2"/>
        <v>16</v>
      </c>
      <c r="J41" s="119" t="s">
        <v>260</v>
      </c>
      <c r="K41" s="64" t="s">
        <v>261</v>
      </c>
      <c r="L41" s="16">
        <v>3</v>
      </c>
      <c r="M41" s="16">
        <f>E41*H41*L41</f>
        <v>48</v>
      </c>
      <c r="N41" s="22"/>
      <c r="O41" s="68"/>
      <c r="P41" s="68"/>
      <c r="Q41" s="22"/>
      <c r="R41" s="11"/>
      <c r="S41" s="11"/>
      <c r="T41" s="11"/>
      <c r="U41" s="11"/>
      <c r="V41" s="14"/>
      <c r="W41" s="114"/>
      <c r="X41" s="111"/>
      <c r="Y41" s="111"/>
      <c r="Z41" s="111"/>
      <c r="AA41" s="111"/>
      <c r="AB41" s="111"/>
      <c r="AC41" s="111"/>
      <c r="AD41" s="111"/>
      <c r="AE41" s="111"/>
      <c r="AF41" s="111"/>
      <c r="AG41" s="111"/>
      <c r="AH41" s="111"/>
      <c r="AI41" s="111"/>
      <c r="AJ41" s="111"/>
      <c r="AK41" s="111"/>
      <c r="AL41" s="112"/>
    </row>
    <row r="42" spans="1:43" customFormat="1" ht="112.5" x14ac:dyDescent="0.25">
      <c r="A42" s="212"/>
      <c r="B42" s="214"/>
      <c r="C42" s="225"/>
      <c r="D42" s="16" t="s">
        <v>15</v>
      </c>
      <c r="E42" s="16">
        <v>7</v>
      </c>
      <c r="F42" s="12" t="str" cm="1">
        <f t="array" ref="F42">_xlfn.SWITCH(E42,1,"m",2,"m",3,"m",4,"M2",5,"M2",6,"M1",7,"M1",8,"C",9,"C",10,"S/R")</f>
        <v>M1</v>
      </c>
      <c r="G42" s="16" t="s">
        <v>244</v>
      </c>
      <c r="H42" s="16">
        <v>2</v>
      </c>
      <c r="I42" s="12">
        <f t="shared" si="2"/>
        <v>14</v>
      </c>
      <c r="J42" s="119" t="s">
        <v>210</v>
      </c>
      <c r="K42" s="64" t="s">
        <v>178</v>
      </c>
      <c r="L42" s="16">
        <v>6</v>
      </c>
      <c r="M42" s="16">
        <f>E42*H42*L42</f>
        <v>84</v>
      </c>
      <c r="N42" s="22"/>
      <c r="O42" s="68"/>
      <c r="P42" s="68"/>
      <c r="Q42" s="22"/>
      <c r="R42" s="11"/>
      <c r="S42" s="11"/>
      <c r="T42" s="11"/>
      <c r="U42" s="11"/>
      <c r="V42" s="14"/>
      <c r="W42" s="114"/>
      <c r="X42" s="111"/>
      <c r="Y42" s="111"/>
      <c r="Z42" s="111"/>
      <c r="AA42" s="111"/>
      <c r="AB42" s="111"/>
      <c r="AC42" s="111"/>
      <c r="AD42" s="111"/>
      <c r="AE42" s="111"/>
      <c r="AF42" s="111"/>
      <c r="AG42" s="111"/>
      <c r="AH42" s="111"/>
      <c r="AI42" s="111"/>
      <c r="AJ42" s="111"/>
      <c r="AK42" s="111"/>
      <c r="AL42" s="112"/>
    </row>
    <row r="43" spans="1:43" customFormat="1" ht="95.25" customHeight="1" x14ac:dyDescent="0.3">
      <c r="A43" s="221" t="s">
        <v>21</v>
      </c>
      <c r="B43" s="214" t="s">
        <v>68</v>
      </c>
      <c r="C43" s="48" t="s">
        <v>129</v>
      </c>
      <c r="D43" s="16" t="s">
        <v>95</v>
      </c>
      <c r="E43" s="22">
        <v>7</v>
      </c>
      <c r="F43" s="12" t="str" cm="1">
        <f t="array" ref="F43">_xlfn.SWITCH(E43,1,"m",2,"m",3,"m",4,"M2",5,"M2",6,"M1",7,"M1",8,"C",9,"C",10,"S/R")</f>
        <v>M1</v>
      </c>
      <c r="G43" s="101" t="s">
        <v>32</v>
      </c>
      <c r="H43" s="101">
        <v>2</v>
      </c>
      <c r="I43" s="12">
        <f t="shared" si="2"/>
        <v>14</v>
      </c>
      <c r="J43" s="101" t="s">
        <v>262</v>
      </c>
      <c r="K43" s="16" t="s">
        <v>128</v>
      </c>
      <c r="L43" s="101">
        <v>6</v>
      </c>
      <c r="M43" s="12">
        <f>L43*H43*E43</f>
        <v>84</v>
      </c>
      <c r="N43" s="96"/>
      <c r="O43" s="125"/>
      <c r="P43" s="125"/>
      <c r="Q43" s="125"/>
      <c r="R43" s="125"/>
      <c r="S43" s="125"/>
      <c r="T43" s="125"/>
      <c r="U43" s="126"/>
      <c r="V43" s="144"/>
      <c r="W43" s="114"/>
      <c r="X43" s="111"/>
      <c r="Y43" s="111"/>
      <c r="Z43" s="111"/>
      <c r="AA43" s="111"/>
      <c r="AB43" s="111"/>
      <c r="AC43" s="111"/>
      <c r="AD43" s="111"/>
      <c r="AE43" s="111"/>
      <c r="AF43" s="111"/>
      <c r="AG43" s="111"/>
      <c r="AH43" s="111"/>
      <c r="AI43" s="111"/>
      <c r="AJ43" s="111"/>
      <c r="AK43" s="111"/>
      <c r="AL43" s="112"/>
    </row>
    <row r="44" spans="1:43" customFormat="1" ht="93" customHeight="1" x14ac:dyDescent="0.3">
      <c r="A44" s="221"/>
      <c r="B44" s="214"/>
      <c r="C44" s="48" t="s">
        <v>177</v>
      </c>
      <c r="D44" s="16" t="s">
        <v>95</v>
      </c>
      <c r="E44" s="22">
        <v>7</v>
      </c>
      <c r="F44" s="12" t="str" cm="1">
        <f t="array" ref="F44">_xlfn.SWITCH(E44,1,"m",2,"m",3,"m",4,"M2",5,"M2",6,"M1",7,"M1",8,"C",9,"C",10,"S/R")</f>
        <v>M1</v>
      </c>
      <c r="G44" s="101" t="s">
        <v>263</v>
      </c>
      <c r="H44" s="101">
        <v>2</v>
      </c>
      <c r="I44" s="12">
        <f t="shared" si="2"/>
        <v>14</v>
      </c>
      <c r="J44" s="101" t="s">
        <v>262</v>
      </c>
      <c r="K44" s="16" t="s">
        <v>128</v>
      </c>
      <c r="L44" s="101">
        <v>4</v>
      </c>
      <c r="M44" s="22">
        <f>L44*H44*E44</f>
        <v>56</v>
      </c>
      <c r="N44" s="38"/>
      <c r="O44" s="33"/>
      <c r="P44" s="33"/>
      <c r="Q44" s="33"/>
      <c r="R44" s="33"/>
      <c r="S44" s="33"/>
      <c r="T44" s="33"/>
      <c r="U44" s="127"/>
      <c r="V44" s="24"/>
      <c r="W44" s="114"/>
      <c r="X44" s="111"/>
      <c r="Y44" s="111"/>
      <c r="Z44" s="111"/>
      <c r="AA44" s="111"/>
      <c r="AB44" s="111"/>
      <c r="AC44" s="111"/>
      <c r="AD44" s="111"/>
      <c r="AE44" s="111"/>
      <c r="AF44" s="111"/>
      <c r="AG44" s="111"/>
      <c r="AH44" s="111"/>
      <c r="AI44" s="111"/>
      <c r="AJ44" s="111"/>
      <c r="AK44" s="111"/>
      <c r="AL44" s="112"/>
    </row>
    <row r="45" spans="1:43" customFormat="1" ht="75" x14ac:dyDescent="0.3">
      <c r="A45" s="221"/>
      <c r="B45" s="214"/>
      <c r="C45" s="246" t="s">
        <v>264</v>
      </c>
      <c r="D45" s="16" t="s">
        <v>14</v>
      </c>
      <c r="E45" s="16">
        <v>8</v>
      </c>
      <c r="F45" s="12" t="str" cm="1">
        <f t="array" ref="F45">_xlfn.SWITCH(E45,1,"m",2,"m",3,"m",4,"M2",5,"M2",6,"M1",7,"M1",8,"C",9,"C",10,"S/R")</f>
        <v>C</v>
      </c>
      <c r="G45" s="16" t="s">
        <v>47</v>
      </c>
      <c r="H45" s="16">
        <v>2</v>
      </c>
      <c r="I45" s="12">
        <f t="shared" si="2"/>
        <v>16</v>
      </c>
      <c r="J45" s="119" t="s">
        <v>209</v>
      </c>
      <c r="K45" s="64" t="s">
        <v>35</v>
      </c>
      <c r="L45" s="16">
        <v>3</v>
      </c>
      <c r="M45" s="16">
        <f>E45*H45*L45</f>
        <v>48</v>
      </c>
      <c r="N45" s="38"/>
      <c r="O45" s="81"/>
      <c r="P45" s="81"/>
      <c r="Q45" s="33"/>
      <c r="R45" s="33"/>
      <c r="S45" s="33"/>
      <c r="T45" s="33"/>
      <c r="U45" s="127"/>
      <c r="V45" s="24"/>
      <c r="W45" s="114"/>
      <c r="X45" s="111"/>
      <c r="Y45" s="111"/>
      <c r="Z45" s="111"/>
      <c r="AA45" s="111"/>
      <c r="AB45" s="111"/>
      <c r="AC45" s="111"/>
      <c r="AD45" s="111"/>
      <c r="AE45" s="111"/>
      <c r="AF45" s="111"/>
      <c r="AG45" s="111"/>
      <c r="AH45" s="111"/>
      <c r="AI45" s="111"/>
      <c r="AJ45" s="111"/>
      <c r="AK45" s="111"/>
      <c r="AL45" s="112"/>
    </row>
    <row r="46" spans="1:43" customFormat="1" ht="119.25" customHeight="1" x14ac:dyDescent="0.3">
      <c r="A46" s="221"/>
      <c r="B46" s="214"/>
      <c r="C46" s="246"/>
      <c r="D46" s="16" t="s">
        <v>15</v>
      </c>
      <c r="E46" s="16">
        <v>7</v>
      </c>
      <c r="F46" s="12" t="str" cm="1">
        <f t="array" ref="F46">_xlfn.SWITCH(E46,1,"m",2,"m",3,"m",4,"M2",5,"M2",6,"M1",7,"M1",8,"C",9,"C",10,"S/R")</f>
        <v>M1</v>
      </c>
      <c r="G46" s="16" t="s">
        <v>48</v>
      </c>
      <c r="H46" s="16">
        <v>2</v>
      </c>
      <c r="I46" s="12">
        <f t="shared" si="2"/>
        <v>14</v>
      </c>
      <c r="J46" s="119" t="s">
        <v>210</v>
      </c>
      <c r="K46" s="64" t="s">
        <v>152</v>
      </c>
      <c r="L46" s="16">
        <v>6</v>
      </c>
      <c r="M46" s="16">
        <f>E46*H46*L46</f>
        <v>84</v>
      </c>
      <c r="N46" s="38"/>
      <c r="O46" s="81"/>
      <c r="P46" s="81"/>
      <c r="Q46" s="33"/>
      <c r="R46" s="33"/>
      <c r="S46" s="33"/>
      <c r="T46" s="33"/>
      <c r="U46" s="127"/>
      <c r="V46" s="24"/>
      <c r="W46" s="114"/>
      <c r="X46" s="111"/>
      <c r="Y46" s="111"/>
      <c r="Z46" s="111"/>
      <c r="AA46" s="111"/>
      <c r="AB46" s="111"/>
      <c r="AC46" s="111"/>
      <c r="AD46" s="111"/>
      <c r="AE46" s="111"/>
      <c r="AF46" s="111"/>
      <c r="AG46" s="111"/>
      <c r="AH46" s="111"/>
      <c r="AI46" s="111"/>
      <c r="AJ46" s="111"/>
      <c r="AK46" s="111"/>
      <c r="AL46" s="112"/>
    </row>
    <row r="47" spans="1:43" customFormat="1" ht="112.5" x14ac:dyDescent="0.3">
      <c r="A47" s="212">
        <v>153</v>
      </c>
      <c r="B47" s="214" t="s">
        <v>86</v>
      </c>
      <c r="C47" s="246" t="s">
        <v>265</v>
      </c>
      <c r="D47" s="16" t="s">
        <v>14</v>
      </c>
      <c r="E47" s="16">
        <v>8</v>
      </c>
      <c r="F47" s="12" t="str" cm="1">
        <f t="array" ref="F47">_xlfn.SWITCH(E47,1,"m",2,"m",3,"m",4,"M2",5,"M2",6,"M1",7,"M1",8,"C",9,"C",10,"S/R")</f>
        <v>C</v>
      </c>
      <c r="G47" s="16" t="s">
        <v>47</v>
      </c>
      <c r="H47" s="16">
        <v>2</v>
      </c>
      <c r="I47" s="12">
        <f t="shared" si="2"/>
        <v>16</v>
      </c>
      <c r="J47" s="119" t="s">
        <v>260</v>
      </c>
      <c r="K47" s="64" t="s">
        <v>266</v>
      </c>
      <c r="L47" s="16">
        <v>3</v>
      </c>
      <c r="M47" s="16">
        <f>E47*H47*L47</f>
        <v>48</v>
      </c>
      <c r="N47" s="38"/>
      <c r="O47" s="81"/>
      <c r="P47" s="81"/>
      <c r="Q47" s="33"/>
      <c r="R47" s="33"/>
      <c r="S47" s="33"/>
      <c r="T47" s="33"/>
      <c r="U47" s="127"/>
      <c r="V47" s="24"/>
      <c r="W47" s="114"/>
      <c r="X47" s="111"/>
      <c r="Y47" s="111"/>
      <c r="Z47" s="111"/>
      <c r="AA47" s="111"/>
      <c r="AB47" s="111"/>
      <c r="AC47" s="111"/>
      <c r="AD47" s="111"/>
      <c r="AE47" s="111"/>
      <c r="AF47" s="111"/>
      <c r="AG47" s="111"/>
      <c r="AH47" s="111"/>
      <c r="AI47" s="111"/>
      <c r="AJ47" s="111"/>
      <c r="AK47" s="111"/>
      <c r="AL47" s="112"/>
    </row>
    <row r="48" spans="1:43" s="5" customFormat="1" ht="108" customHeight="1" x14ac:dyDescent="0.3">
      <c r="A48" s="212"/>
      <c r="B48" s="214"/>
      <c r="C48" s="246"/>
      <c r="D48" s="16" t="s">
        <v>15</v>
      </c>
      <c r="E48" s="16">
        <v>7</v>
      </c>
      <c r="F48" s="12" t="str" cm="1">
        <f t="array" ref="F48">_xlfn.SWITCH(E48,1,"m",2,"m",3,"m",4,"M2",5,"M2",6,"M1",7,"M1",8,"C",9,"C",10,"S/R")</f>
        <v>M1</v>
      </c>
      <c r="G48" s="16" t="s">
        <v>48</v>
      </c>
      <c r="H48" s="16">
        <v>2</v>
      </c>
      <c r="I48" s="12">
        <f t="shared" si="2"/>
        <v>14</v>
      </c>
      <c r="J48" s="119" t="s">
        <v>210</v>
      </c>
      <c r="K48" s="64" t="s">
        <v>267</v>
      </c>
      <c r="L48" s="16">
        <v>6</v>
      </c>
      <c r="M48" s="16">
        <f>E48*H48*L48</f>
        <v>84</v>
      </c>
      <c r="N48" s="38"/>
      <c r="O48" s="81"/>
      <c r="P48" s="81"/>
      <c r="Q48" s="33"/>
      <c r="R48" s="33"/>
      <c r="S48" s="33"/>
      <c r="T48" s="33"/>
      <c r="U48" s="127"/>
      <c r="V48" s="24"/>
      <c r="W48" s="114"/>
      <c r="X48" s="111"/>
      <c r="Y48" s="111"/>
      <c r="Z48" s="111"/>
      <c r="AA48" s="111"/>
      <c r="AB48" s="111"/>
      <c r="AC48" s="111"/>
      <c r="AD48" s="111"/>
      <c r="AE48" s="111"/>
      <c r="AF48" s="111"/>
      <c r="AG48" s="111"/>
      <c r="AH48" s="111"/>
      <c r="AI48" s="111"/>
      <c r="AJ48" s="111"/>
      <c r="AK48" s="111"/>
      <c r="AL48" s="112"/>
      <c r="AM48"/>
      <c r="AN48"/>
      <c r="AO48"/>
      <c r="AP48"/>
      <c r="AQ48"/>
    </row>
    <row r="49" spans="1:43" s="6" customFormat="1" ht="375" x14ac:dyDescent="0.25">
      <c r="A49" s="222" t="s">
        <v>167</v>
      </c>
      <c r="B49" s="241" t="s">
        <v>268</v>
      </c>
      <c r="C49" s="12" t="s">
        <v>33</v>
      </c>
      <c r="D49" s="12" t="s">
        <v>50</v>
      </c>
      <c r="E49" s="12">
        <v>8</v>
      </c>
      <c r="F49" s="12" t="str" cm="1">
        <f t="array" ref="F49">_xlfn.SWITCH(E49,1,"m",2,"m",3,"m",4,"M2",5,"M2",6,"M1",7,"M1",8,"C",9,"C",10,"S/R")</f>
        <v>C</v>
      </c>
      <c r="G49" s="12" t="s">
        <v>34</v>
      </c>
      <c r="H49" s="12">
        <v>4</v>
      </c>
      <c r="I49" s="12">
        <f t="shared" si="2"/>
        <v>32</v>
      </c>
      <c r="J49" s="77" t="s">
        <v>342</v>
      </c>
      <c r="K49" s="12" t="s">
        <v>35</v>
      </c>
      <c r="L49" s="12">
        <v>3</v>
      </c>
      <c r="M49" s="12">
        <f>L49*H49*E49</f>
        <v>96</v>
      </c>
      <c r="N49" s="37"/>
      <c r="O49" s="128"/>
      <c r="P49" s="128"/>
      <c r="Q49" s="13"/>
      <c r="R49" s="129"/>
      <c r="S49" s="35"/>
      <c r="T49" s="35"/>
      <c r="U49" s="35"/>
      <c r="V49" s="30"/>
      <c r="W49" s="114"/>
      <c r="X49" s="111"/>
      <c r="Y49" s="111"/>
      <c r="Z49" s="111"/>
      <c r="AA49" s="111"/>
      <c r="AB49" s="111"/>
      <c r="AC49" s="111"/>
      <c r="AD49" s="111"/>
      <c r="AE49" s="111"/>
      <c r="AF49" s="111"/>
      <c r="AG49" s="111"/>
      <c r="AH49" s="111"/>
      <c r="AI49" s="111"/>
      <c r="AJ49" s="111"/>
      <c r="AK49" s="111"/>
      <c r="AL49" s="112"/>
      <c r="AM49" s="5"/>
      <c r="AN49" s="5"/>
      <c r="AO49" s="5"/>
      <c r="AP49" s="5"/>
      <c r="AQ49" s="5"/>
    </row>
    <row r="50" spans="1:43" s="6" customFormat="1" ht="75" x14ac:dyDescent="0.25">
      <c r="A50" s="222"/>
      <c r="B50" s="241"/>
      <c r="C50" s="225" t="s">
        <v>36</v>
      </c>
      <c r="D50" s="16" t="s">
        <v>14</v>
      </c>
      <c r="E50" s="16">
        <v>8</v>
      </c>
      <c r="F50" s="12" t="str" cm="1">
        <f t="array" ref="F50">_xlfn.SWITCH(E50,1,"m",2,"m",3,"m",4,"M2",5,"M2",6,"M1",7,"M1",8,"C",9,"C",10,"S/R")</f>
        <v>C</v>
      </c>
      <c r="G50" s="16" t="s">
        <v>47</v>
      </c>
      <c r="H50" s="16">
        <v>2</v>
      </c>
      <c r="I50" s="12">
        <f t="shared" si="2"/>
        <v>16</v>
      </c>
      <c r="J50" s="119" t="s">
        <v>209</v>
      </c>
      <c r="K50" s="64" t="s">
        <v>266</v>
      </c>
      <c r="L50" s="16">
        <v>3</v>
      </c>
      <c r="M50" s="16">
        <f>E50*H50*L50</f>
        <v>48</v>
      </c>
      <c r="N50" s="22"/>
      <c r="O50" s="68"/>
      <c r="P50" s="68"/>
      <c r="Q50" s="22"/>
      <c r="R50" s="22"/>
      <c r="S50" s="11"/>
      <c r="T50" s="11"/>
      <c r="U50" s="11"/>
      <c r="V50" s="14"/>
      <c r="W50" s="114"/>
      <c r="X50" s="111"/>
      <c r="Y50" s="111"/>
      <c r="Z50" s="111"/>
      <c r="AA50" s="111"/>
      <c r="AB50" s="111"/>
      <c r="AC50" s="111"/>
      <c r="AD50" s="111"/>
      <c r="AE50" s="111"/>
      <c r="AF50" s="111"/>
      <c r="AG50" s="111"/>
      <c r="AH50" s="111"/>
      <c r="AI50" s="111"/>
      <c r="AJ50" s="111"/>
      <c r="AK50" s="111"/>
      <c r="AL50" s="112"/>
    </row>
    <row r="51" spans="1:43" s="5" customFormat="1" ht="105.75" customHeight="1" x14ac:dyDescent="0.25">
      <c r="A51" s="222"/>
      <c r="B51" s="241"/>
      <c r="C51" s="225"/>
      <c r="D51" s="16" t="s">
        <v>15</v>
      </c>
      <c r="E51" s="16">
        <v>7</v>
      </c>
      <c r="F51" s="12" t="str" cm="1">
        <f t="array" ref="F51">_xlfn.SWITCH(E51,1,"m",2,"m",3,"m",4,"M2",5,"M2",6,"M1",7,"M1",8,"C",9,"C",10,"S/R")</f>
        <v>M1</v>
      </c>
      <c r="G51" s="16" t="s">
        <v>48</v>
      </c>
      <c r="H51" s="16">
        <v>2</v>
      </c>
      <c r="I51" s="12">
        <f t="shared" si="2"/>
        <v>14</v>
      </c>
      <c r="J51" s="119" t="s">
        <v>245</v>
      </c>
      <c r="K51" s="64" t="s">
        <v>269</v>
      </c>
      <c r="L51" s="16">
        <v>6</v>
      </c>
      <c r="M51" s="16">
        <f>E51*H51*L51</f>
        <v>84</v>
      </c>
      <c r="N51" s="22"/>
      <c r="O51" s="68"/>
      <c r="P51" s="68"/>
      <c r="Q51" s="22"/>
      <c r="R51" s="22"/>
      <c r="S51" s="11"/>
      <c r="T51" s="11"/>
      <c r="U51" s="11"/>
      <c r="V51" s="14"/>
      <c r="W51" s="114"/>
      <c r="X51" s="111"/>
      <c r="Y51" s="111"/>
      <c r="Z51" s="111"/>
      <c r="AA51" s="111"/>
      <c r="AB51" s="111"/>
      <c r="AC51" s="111"/>
      <c r="AD51" s="111"/>
      <c r="AE51" s="111"/>
      <c r="AF51" s="111"/>
      <c r="AG51" s="111"/>
      <c r="AH51" s="111"/>
      <c r="AI51" s="111"/>
      <c r="AJ51" s="111"/>
      <c r="AK51" s="111"/>
      <c r="AL51" s="112"/>
      <c r="AM51" s="6"/>
      <c r="AN51" s="6"/>
      <c r="AO51" s="6"/>
      <c r="AP51" s="6"/>
      <c r="AQ51" s="6"/>
    </row>
    <row r="52" spans="1:43" s="6" customFormat="1" ht="174" customHeight="1" x14ac:dyDescent="0.25">
      <c r="A52" s="142" t="s">
        <v>51</v>
      </c>
      <c r="B52" s="48" t="s">
        <v>69</v>
      </c>
      <c r="C52" s="48" t="s">
        <v>160</v>
      </c>
      <c r="D52" s="15" t="s">
        <v>16</v>
      </c>
      <c r="E52" s="15">
        <v>3</v>
      </c>
      <c r="F52" s="12" t="str" cm="1">
        <f t="array" ref="F52">_xlfn.SWITCH(E52,1,"m",2,"m",3,"m",4,"M2",5,"M2",6,"M1",7,"M1",8,"C",9,"C",10,"S/R")</f>
        <v>m</v>
      </c>
      <c r="G52" s="15" t="s">
        <v>62</v>
      </c>
      <c r="H52" s="15">
        <v>2</v>
      </c>
      <c r="I52" s="12">
        <f t="shared" si="2"/>
        <v>6</v>
      </c>
      <c r="J52" s="87" t="s">
        <v>330</v>
      </c>
      <c r="K52" s="15" t="s">
        <v>17</v>
      </c>
      <c r="L52" s="15">
        <v>7</v>
      </c>
      <c r="M52" s="22">
        <f>L52*H52*E52</f>
        <v>42</v>
      </c>
      <c r="N52" s="12"/>
      <c r="O52" s="130"/>
      <c r="P52" s="130"/>
      <c r="Q52" s="12"/>
      <c r="R52" s="12"/>
      <c r="S52" s="35"/>
      <c r="T52" s="35"/>
      <c r="U52" s="35"/>
      <c r="V52" s="30"/>
      <c r="W52" s="114"/>
      <c r="X52" s="111"/>
      <c r="Y52" s="111"/>
      <c r="Z52" s="111"/>
      <c r="AA52" s="111"/>
      <c r="AB52" s="111"/>
      <c r="AC52" s="111"/>
      <c r="AD52" s="111"/>
      <c r="AE52" s="111"/>
      <c r="AF52" s="111"/>
      <c r="AG52" s="111"/>
      <c r="AH52" s="111"/>
      <c r="AI52" s="111"/>
      <c r="AJ52" s="111"/>
      <c r="AK52" s="111"/>
      <c r="AL52" s="112"/>
      <c r="AM52" s="5"/>
      <c r="AN52" s="5"/>
      <c r="AO52" s="5"/>
      <c r="AP52" s="5"/>
      <c r="AQ52" s="5"/>
    </row>
    <row r="53" spans="1:43" s="6" customFormat="1" ht="171" customHeight="1" x14ac:dyDescent="0.25">
      <c r="A53" s="222" t="s">
        <v>96</v>
      </c>
      <c r="B53" s="216" t="s">
        <v>97</v>
      </c>
      <c r="C53" s="249" t="s">
        <v>270</v>
      </c>
      <c r="D53" s="12" t="s">
        <v>146</v>
      </c>
      <c r="E53" s="22">
        <v>5</v>
      </c>
      <c r="F53" s="12" t="str" cm="1">
        <f t="array" ref="F53">_xlfn.SWITCH(E53,1,"m",2,"m",3,"m",4,"M2",5,"M2",6,"M1",7,"M1",8,"C",9,"C",10,"S/R")</f>
        <v>M2</v>
      </c>
      <c r="G53" s="22" t="s">
        <v>75</v>
      </c>
      <c r="H53" s="22">
        <v>2</v>
      </c>
      <c r="I53" s="12">
        <f t="shared" si="2"/>
        <v>10</v>
      </c>
      <c r="J53" s="87" t="s">
        <v>343</v>
      </c>
      <c r="K53" s="22" t="s">
        <v>320</v>
      </c>
      <c r="L53" s="22">
        <v>7</v>
      </c>
      <c r="M53" s="22">
        <f>E53*H53*L53</f>
        <v>70</v>
      </c>
      <c r="N53" s="87"/>
      <c r="O53" s="87"/>
      <c r="P53" s="87"/>
      <c r="Q53" s="91"/>
      <c r="R53" s="71"/>
      <c r="S53" s="71"/>
      <c r="T53" s="71"/>
      <c r="U53" s="71"/>
      <c r="V53" s="72"/>
      <c r="W53" s="114"/>
      <c r="X53" s="111"/>
      <c r="Y53" s="111"/>
      <c r="Z53" s="111"/>
      <c r="AA53" s="111"/>
      <c r="AB53" s="111"/>
      <c r="AC53" s="111"/>
      <c r="AD53" s="111"/>
      <c r="AE53" s="111"/>
      <c r="AF53" s="111"/>
      <c r="AG53" s="111"/>
      <c r="AH53" s="111"/>
      <c r="AI53" s="111"/>
      <c r="AJ53" s="111"/>
      <c r="AK53" s="111"/>
      <c r="AL53" s="112"/>
      <c r="AM53" s="5"/>
      <c r="AN53" s="5"/>
      <c r="AO53" s="5"/>
      <c r="AP53" s="5"/>
      <c r="AQ53" s="5"/>
    </row>
    <row r="54" spans="1:43" s="6" customFormat="1" ht="141.75" customHeight="1" x14ac:dyDescent="0.25">
      <c r="A54" s="222"/>
      <c r="B54" s="216"/>
      <c r="C54" s="249"/>
      <c r="D54" s="12" t="s">
        <v>147</v>
      </c>
      <c r="E54" s="22">
        <v>7</v>
      </c>
      <c r="F54" s="12" t="str" cm="1">
        <f t="array" ref="F54">_xlfn.SWITCH(E54,1,"m",2,"m",3,"m",4,"M2",5,"M2",6,"M1",7,"M1",8,"C",9,"C",10,"S/R")</f>
        <v>M1</v>
      </c>
      <c r="G54" s="22" t="s">
        <v>75</v>
      </c>
      <c r="H54" s="22">
        <v>2</v>
      </c>
      <c r="I54" s="12">
        <f t="shared" si="2"/>
        <v>14</v>
      </c>
      <c r="J54" s="87" t="s">
        <v>343</v>
      </c>
      <c r="K54" s="22" t="s">
        <v>320</v>
      </c>
      <c r="L54" s="22">
        <v>7</v>
      </c>
      <c r="M54" s="22">
        <f>E54*H54*L54</f>
        <v>98</v>
      </c>
      <c r="N54" s="87"/>
      <c r="O54" s="87"/>
      <c r="P54" s="87"/>
      <c r="Q54" s="91"/>
      <c r="R54" s="71"/>
      <c r="S54" s="71"/>
      <c r="T54" s="71"/>
      <c r="U54" s="71"/>
      <c r="V54" s="72"/>
      <c r="W54" s="114"/>
      <c r="X54" s="111"/>
      <c r="Y54" s="111"/>
      <c r="Z54" s="111"/>
      <c r="AA54" s="111"/>
      <c r="AB54" s="111"/>
      <c r="AC54" s="111"/>
      <c r="AD54" s="111"/>
      <c r="AE54" s="111"/>
      <c r="AF54" s="111"/>
      <c r="AG54" s="111"/>
      <c r="AH54" s="111"/>
      <c r="AI54" s="111"/>
      <c r="AJ54" s="111"/>
      <c r="AK54" s="111"/>
      <c r="AL54" s="112"/>
      <c r="AM54" s="5"/>
      <c r="AN54" s="5"/>
      <c r="AO54" s="5"/>
      <c r="AP54" s="5"/>
      <c r="AQ54" s="5"/>
    </row>
    <row r="55" spans="1:43" s="6" customFormat="1" ht="64.5" customHeight="1" x14ac:dyDescent="0.25">
      <c r="A55" s="222"/>
      <c r="B55" s="216"/>
      <c r="C55" s="22" t="s">
        <v>98</v>
      </c>
      <c r="D55" s="22" t="s">
        <v>76</v>
      </c>
      <c r="E55" s="22">
        <v>6</v>
      </c>
      <c r="F55" s="12" t="str" cm="1">
        <f t="array" ref="F55">_xlfn.SWITCH(E55,1,"m",2,"m",3,"m",4,"M2",5,"M2",6,"M1",7,"M1",8,"C",9,"C",10,"S/R")</f>
        <v>M1</v>
      </c>
      <c r="G55" s="22" t="s">
        <v>77</v>
      </c>
      <c r="H55" s="22">
        <v>2</v>
      </c>
      <c r="I55" s="12">
        <f t="shared" si="2"/>
        <v>12</v>
      </c>
      <c r="J55" s="73" t="s">
        <v>78</v>
      </c>
      <c r="K55" s="22" t="s">
        <v>99</v>
      </c>
      <c r="L55" s="22">
        <v>1</v>
      </c>
      <c r="M55" s="22">
        <f>E55*H55*L55</f>
        <v>12</v>
      </c>
      <c r="N55" s="87"/>
      <c r="O55" s="87"/>
      <c r="P55" s="87"/>
      <c r="Q55" s="91"/>
      <c r="R55" s="71"/>
      <c r="S55" s="71"/>
      <c r="T55" s="71"/>
      <c r="U55" s="71"/>
      <c r="V55" s="72"/>
      <c r="W55" s="114"/>
      <c r="X55" s="111"/>
      <c r="Y55" s="111"/>
      <c r="Z55" s="111"/>
      <c r="AA55" s="111"/>
      <c r="AB55" s="111"/>
      <c r="AC55" s="111"/>
      <c r="AD55" s="111"/>
      <c r="AE55" s="111"/>
      <c r="AF55" s="111"/>
      <c r="AG55" s="111"/>
      <c r="AH55" s="111"/>
      <c r="AI55" s="111"/>
      <c r="AJ55" s="111"/>
      <c r="AK55" s="111"/>
      <c r="AL55" s="112"/>
      <c r="AM55" s="5"/>
      <c r="AN55" s="5"/>
      <c r="AO55" s="5"/>
      <c r="AP55" s="5"/>
      <c r="AQ55" s="5"/>
    </row>
    <row r="56" spans="1:43" s="6" customFormat="1" ht="75" x14ac:dyDescent="0.25">
      <c r="A56" s="222"/>
      <c r="B56" s="216"/>
      <c r="C56" s="22" t="s">
        <v>100</v>
      </c>
      <c r="D56" s="22" t="s">
        <v>76</v>
      </c>
      <c r="E56" s="22">
        <v>6</v>
      </c>
      <c r="F56" s="12" t="str" cm="1">
        <f t="array" ref="F56">_xlfn.SWITCH(E56,1,"m",2,"m",3,"m",4,"M2",5,"M2",6,"M1",7,"M1",8,"C",9,"C",10,"S/R")</f>
        <v>M1</v>
      </c>
      <c r="G56" s="22" t="s">
        <v>101</v>
      </c>
      <c r="H56" s="22">
        <v>2</v>
      </c>
      <c r="I56" s="12">
        <f t="shared" si="2"/>
        <v>12</v>
      </c>
      <c r="J56" s="87" t="s">
        <v>329</v>
      </c>
      <c r="K56" s="22" t="s">
        <v>321</v>
      </c>
      <c r="L56" s="22">
        <v>7</v>
      </c>
      <c r="M56" s="22">
        <f>E56*H56*L56</f>
        <v>84</v>
      </c>
      <c r="N56" s="87"/>
      <c r="O56" s="87"/>
      <c r="P56" s="87"/>
      <c r="Q56" s="87"/>
      <c r="R56" s="71"/>
      <c r="S56" s="71"/>
      <c r="T56" s="71"/>
      <c r="U56" s="71"/>
      <c r="V56" s="72"/>
      <c r="W56" s="114"/>
      <c r="X56" s="111"/>
      <c r="Y56" s="111"/>
      <c r="Z56" s="111"/>
      <c r="AA56" s="111"/>
      <c r="AB56" s="111"/>
      <c r="AC56" s="111"/>
      <c r="AD56" s="111"/>
      <c r="AE56" s="111"/>
      <c r="AF56" s="111"/>
      <c r="AG56" s="111"/>
      <c r="AH56" s="111"/>
      <c r="AI56" s="111"/>
      <c r="AJ56" s="111"/>
      <c r="AK56" s="111"/>
      <c r="AL56" s="112"/>
      <c r="AM56" s="5"/>
      <c r="AN56" s="5"/>
      <c r="AO56" s="5"/>
      <c r="AP56" s="5"/>
      <c r="AQ56" s="5"/>
    </row>
    <row r="57" spans="1:43" s="6" customFormat="1" ht="131.25" x14ac:dyDescent="0.25">
      <c r="A57" s="222"/>
      <c r="B57" s="216"/>
      <c r="C57" s="22" t="s">
        <v>102</v>
      </c>
      <c r="D57" s="22" t="s">
        <v>76</v>
      </c>
      <c r="E57" s="22">
        <v>6</v>
      </c>
      <c r="F57" s="12" t="str" cm="1">
        <f t="array" ref="F57">_xlfn.SWITCH(E57,1,"m",2,"m",3,"m",4,"M2",5,"M2",6,"M1",7,"M1",8,"C",9,"C",10,"S/R")</f>
        <v>M1</v>
      </c>
      <c r="G57" s="22" t="s">
        <v>103</v>
      </c>
      <c r="H57" s="22">
        <v>2</v>
      </c>
      <c r="I57" s="22">
        <f t="shared" si="2"/>
        <v>12</v>
      </c>
      <c r="J57" s="87" t="s">
        <v>328</v>
      </c>
      <c r="K57" s="22" t="s">
        <v>271</v>
      </c>
      <c r="L57" s="22">
        <v>1</v>
      </c>
      <c r="M57" s="22">
        <f>L57*H57*E57</f>
        <v>12</v>
      </c>
      <c r="N57" s="87"/>
      <c r="O57" s="87"/>
      <c r="P57" s="87"/>
      <c r="Q57" s="91"/>
      <c r="R57" s="71"/>
      <c r="S57" s="71"/>
      <c r="T57" s="71"/>
      <c r="U57" s="71"/>
      <c r="V57" s="72"/>
      <c r="W57" s="114"/>
      <c r="X57" s="111"/>
      <c r="Y57" s="111"/>
      <c r="Z57" s="111"/>
      <c r="AA57" s="111"/>
      <c r="AB57" s="111"/>
      <c r="AC57" s="111"/>
      <c r="AD57" s="111"/>
      <c r="AE57" s="111"/>
      <c r="AF57" s="111"/>
      <c r="AG57" s="111"/>
      <c r="AH57" s="111"/>
      <c r="AI57" s="111"/>
      <c r="AJ57" s="111"/>
      <c r="AK57" s="111"/>
      <c r="AL57" s="112"/>
      <c r="AM57" s="5"/>
      <c r="AN57" s="5"/>
      <c r="AO57" s="5"/>
      <c r="AP57" s="5"/>
      <c r="AQ57" s="5"/>
    </row>
    <row r="58" spans="1:43" s="6" customFormat="1" ht="276.75" customHeight="1" x14ac:dyDescent="0.25">
      <c r="A58" s="222"/>
      <c r="B58" s="216"/>
      <c r="C58" s="22" t="s">
        <v>272</v>
      </c>
      <c r="D58" s="22" t="s">
        <v>273</v>
      </c>
      <c r="E58" s="22">
        <v>6</v>
      </c>
      <c r="F58" s="12" t="str" cm="1">
        <f t="array" ref="F58">_xlfn.SWITCH(E58,1,"m",2,"m",3,"m",4,"M2",5,"M2",6,"M1",7,"M1",8,"C",9,"C",10,"S/R")</f>
        <v>M1</v>
      </c>
      <c r="G58" s="22" t="s">
        <v>274</v>
      </c>
      <c r="H58" s="22">
        <v>3</v>
      </c>
      <c r="I58" s="22">
        <f t="shared" si="2"/>
        <v>18</v>
      </c>
      <c r="J58" s="87" t="s">
        <v>275</v>
      </c>
      <c r="K58" s="15" t="s">
        <v>130</v>
      </c>
      <c r="L58" s="22">
        <v>7</v>
      </c>
      <c r="M58" s="22">
        <f>L58*H58*E58</f>
        <v>126</v>
      </c>
      <c r="N58" s="87" t="s">
        <v>276</v>
      </c>
      <c r="O58" s="87" t="s">
        <v>277</v>
      </c>
      <c r="P58" s="87" t="s">
        <v>278</v>
      </c>
      <c r="Q58" s="91" t="s">
        <v>94</v>
      </c>
      <c r="R58" s="71">
        <v>6</v>
      </c>
      <c r="S58" s="71">
        <v>2</v>
      </c>
      <c r="T58" s="71">
        <v>7</v>
      </c>
      <c r="U58" s="71">
        <f>R58*S58*T58</f>
        <v>84</v>
      </c>
      <c r="V58" s="72">
        <f>S58*R58</f>
        <v>12</v>
      </c>
      <c r="W58" s="114"/>
      <c r="X58" s="111"/>
      <c r="Y58" s="111"/>
      <c r="Z58" s="111"/>
      <c r="AA58" s="111"/>
      <c r="AB58" s="111"/>
      <c r="AC58" s="111"/>
      <c r="AD58" s="111"/>
      <c r="AE58" s="111"/>
      <c r="AF58" s="111"/>
      <c r="AG58" s="111"/>
      <c r="AH58" s="111"/>
      <c r="AI58" s="111"/>
      <c r="AJ58" s="111"/>
      <c r="AK58" s="111"/>
      <c r="AL58" s="112"/>
      <c r="AM58" s="5"/>
      <c r="AN58" s="5"/>
      <c r="AO58" s="5"/>
      <c r="AP58" s="5"/>
      <c r="AQ58" s="5"/>
    </row>
    <row r="59" spans="1:43" s="36" customFormat="1" ht="206.25" x14ac:dyDescent="0.3">
      <c r="A59" s="221" t="s">
        <v>168</v>
      </c>
      <c r="B59" s="215" t="s">
        <v>170</v>
      </c>
      <c r="C59" s="213" t="s">
        <v>131</v>
      </c>
      <c r="D59" s="213" t="s">
        <v>104</v>
      </c>
      <c r="E59" s="213">
        <v>5</v>
      </c>
      <c r="F59" s="247" t="str" cm="1">
        <f t="array" ref="F59">_xlfn.SWITCH(E59,1,"m",2,"m",3,"m",4,"M2",5,"M2",6,"M1",7,"M1",8,"C",9,"C",10,"S/R")</f>
        <v>M2</v>
      </c>
      <c r="G59" s="15" t="s">
        <v>105</v>
      </c>
      <c r="H59" s="84">
        <v>2</v>
      </c>
      <c r="I59" s="12">
        <f t="shared" si="2"/>
        <v>10</v>
      </c>
      <c r="J59" s="58" t="s">
        <v>326</v>
      </c>
      <c r="K59" s="15" t="s">
        <v>130</v>
      </c>
      <c r="L59" s="15">
        <v>7</v>
      </c>
      <c r="M59" s="15">
        <f>L59*H59*E59</f>
        <v>70</v>
      </c>
      <c r="N59" s="13"/>
      <c r="O59" s="35"/>
      <c r="P59" s="35"/>
      <c r="Q59" s="35"/>
      <c r="R59" s="35"/>
      <c r="S59" s="35"/>
      <c r="T59" s="35"/>
      <c r="U59" s="35"/>
      <c r="V59" s="30"/>
      <c r="W59" s="114"/>
      <c r="X59" s="111"/>
      <c r="Y59" s="111"/>
      <c r="Z59" s="111"/>
      <c r="AA59" s="111"/>
      <c r="AB59" s="111"/>
      <c r="AC59" s="111"/>
      <c r="AD59" s="111"/>
      <c r="AE59" s="111"/>
      <c r="AF59" s="111"/>
      <c r="AG59" s="111"/>
      <c r="AH59" s="111"/>
      <c r="AI59" s="111"/>
      <c r="AJ59" s="111"/>
      <c r="AK59" s="111"/>
      <c r="AL59" s="112"/>
    </row>
    <row r="60" spans="1:43" s="36" customFormat="1" ht="131.25" x14ac:dyDescent="0.3">
      <c r="A60" s="221"/>
      <c r="B60" s="215"/>
      <c r="C60" s="213"/>
      <c r="D60" s="213"/>
      <c r="E60" s="213"/>
      <c r="F60" s="248"/>
      <c r="G60" s="15" t="s">
        <v>106</v>
      </c>
      <c r="H60" s="84">
        <v>2</v>
      </c>
      <c r="I60" s="12">
        <f>H60*E59</f>
        <v>10</v>
      </c>
      <c r="J60" s="58" t="s">
        <v>327</v>
      </c>
      <c r="K60" s="15" t="s">
        <v>130</v>
      </c>
      <c r="L60" s="15">
        <v>7</v>
      </c>
      <c r="M60" s="15">
        <f>L60*H60*E59</f>
        <v>70</v>
      </c>
      <c r="N60" s="37"/>
      <c r="O60" s="35"/>
      <c r="P60" s="35"/>
      <c r="Q60" s="35"/>
      <c r="R60" s="35"/>
      <c r="S60" s="35"/>
      <c r="T60" s="35"/>
      <c r="U60" s="35"/>
      <c r="V60" s="30"/>
      <c r="W60" s="114"/>
      <c r="X60" s="111"/>
      <c r="Y60" s="111"/>
      <c r="Z60" s="111"/>
      <c r="AA60" s="111"/>
      <c r="AB60" s="111"/>
      <c r="AC60" s="111"/>
      <c r="AD60" s="111"/>
      <c r="AE60" s="111"/>
      <c r="AF60" s="111"/>
      <c r="AG60" s="111"/>
      <c r="AH60" s="111"/>
      <c r="AI60" s="111"/>
      <c r="AJ60" s="111"/>
      <c r="AK60" s="111"/>
      <c r="AL60" s="112"/>
    </row>
    <row r="61" spans="1:43" s="36" customFormat="1" ht="206.25" x14ac:dyDescent="0.3">
      <c r="A61" s="221"/>
      <c r="B61" s="215"/>
      <c r="C61" s="213" t="s">
        <v>132</v>
      </c>
      <c r="D61" s="213" t="s">
        <v>104</v>
      </c>
      <c r="E61" s="213">
        <v>7</v>
      </c>
      <c r="F61" s="247" t="str" cm="1">
        <f t="array" ref="F61">_xlfn.SWITCH(E61,1,"m",2,"m",3,"m",4,"M2",5,"M2",6,"M1",7,"M1",8,"C",9,"C",10,"S/R")</f>
        <v>M1</v>
      </c>
      <c r="G61" s="15" t="s">
        <v>105</v>
      </c>
      <c r="H61" s="84">
        <v>2</v>
      </c>
      <c r="I61" s="12">
        <f t="shared" si="2"/>
        <v>14</v>
      </c>
      <c r="J61" s="58" t="s">
        <v>326</v>
      </c>
      <c r="K61" s="15" t="s">
        <v>130</v>
      </c>
      <c r="L61" s="15">
        <v>7</v>
      </c>
      <c r="M61" s="15">
        <f>L61*H61*E61</f>
        <v>98</v>
      </c>
      <c r="N61" s="37"/>
      <c r="O61" s="35"/>
      <c r="P61" s="35"/>
      <c r="Q61" s="35"/>
      <c r="R61" s="35"/>
      <c r="S61" s="35"/>
      <c r="T61" s="35"/>
      <c r="U61" s="35"/>
      <c r="V61" s="30"/>
      <c r="W61" s="114"/>
      <c r="X61" s="111"/>
      <c r="Y61" s="111"/>
      <c r="Z61" s="111"/>
      <c r="AA61" s="111"/>
      <c r="AB61" s="111"/>
      <c r="AC61" s="111"/>
      <c r="AD61" s="111"/>
      <c r="AE61" s="111"/>
      <c r="AF61" s="111"/>
      <c r="AG61" s="111"/>
      <c r="AH61" s="111"/>
      <c r="AI61" s="111"/>
      <c r="AJ61" s="111"/>
      <c r="AK61" s="111"/>
      <c r="AL61" s="112"/>
    </row>
    <row r="62" spans="1:43" s="36" customFormat="1" ht="150" x14ac:dyDescent="0.3">
      <c r="A62" s="221"/>
      <c r="B62" s="215"/>
      <c r="C62" s="213"/>
      <c r="D62" s="213"/>
      <c r="E62" s="213"/>
      <c r="F62" s="248"/>
      <c r="G62" s="15" t="s">
        <v>106</v>
      </c>
      <c r="H62" s="84">
        <v>2</v>
      </c>
      <c r="I62" s="12">
        <f>H62*E61</f>
        <v>14</v>
      </c>
      <c r="J62" s="58" t="s">
        <v>325</v>
      </c>
      <c r="K62" s="15" t="s">
        <v>130</v>
      </c>
      <c r="L62" s="15">
        <v>7</v>
      </c>
      <c r="M62" s="15">
        <f>L62*H62*E61</f>
        <v>98</v>
      </c>
      <c r="N62" s="37"/>
      <c r="O62" s="35"/>
      <c r="P62" s="35"/>
      <c r="Q62" s="35"/>
      <c r="R62" s="35"/>
      <c r="S62" s="35"/>
      <c r="T62" s="35"/>
      <c r="U62" s="35"/>
      <c r="V62" s="30"/>
      <c r="W62" s="114"/>
      <c r="X62" s="111"/>
      <c r="Y62" s="111"/>
      <c r="Z62" s="111"/>
      <c r="AA62" s="111"/>
      <c r="AB62" s="111"/>
      <c r="AC62" s="111"/>
      <c r="AD62" s="111"/>
      <c r="AE62" s="111"/>
      <c r="AF62" s="111"/>
      <c r="AG62" s="111"/>
      <c r="AH62" s="111"/>
      <c r="AI62" s="111"/>
      <c r="AJ62" s="111"/>
      <c r="AK62" s="111"/>
      <c r="AL62" s="112"/>
    </row>
    <row r="63" spans="1:43" s="36" customFormat="1" ht="67.5" customHeight="1" x14ac:dyDescent="0.3">
      <c r="A63" s="155" t="s">
        <v>360</v>
      </c>
      <c r="B63" s="156" t="s">
        <v>361</v>
      </c>
      <c r="C63" s="15"/>
      <c r="D63" s="15"/>
      <c r="E63" s="15"/>
      <c r="F63" s="154"/>
      <c r="G63" s="15"/>
      <c r="H63" s="84"/>
      <c r="I63" s="12"/>
      <c r="J63" s="58"/>
      <c r="K63" s="15"/>
      <c r="L63" s="15"/>
      <c r="M63" s="15"/>
      <c r="N63" s="37"/>
      <c r="O63" s="35"/>
      <c r="P63" s="35"/>
      <c r="Q63" s="35"/>
      <c r="R63" s="35"/>
      <c r="S63" s="35"/>
      <c r="T63" s="35"/>
      <c r="U63" s="35"/>
      <c r="V63" s="30"/>
      <c r="W63" s="114"/>
      <c r="X63" s="111"/>
      <c r="Y63" s="111"/>
      <c r="Z63" s="111"/>
      <c r="AA63" s="111"/>
      <c r="AB63" s="111"/>
      <c r="AC63" s="111"/>
      <c r="AD63" s="111"/>
      <c r="AE63" s="111"/>
      <c r="AF63" s="111"/>
      <c r="AG63" s="111"/>
      <c r="AH63" s="111"/>
      <c r="AI63" s="111"/>
      <c r="AJ63" s="111"/>
      <c r="AK63" s="111"/>
      <c r="AL63" s="112"/>
    </row>
    <row r="64" spans="1:43" s="36" customFormat="1" ht="243.75" x14ac:dyDescent="0.3">
      <c r="A64" s="219" t="s">
        <v>84</v>
      </c>
      <c r="B64" s="220" t="s">
        <v>362</v>
      </c>
      <c r="C64" s="157" t="s">
        <v>162</v>
      </c>
      <c r="D64" s="12" t="s">
        <v>172</v>
      </c>
      <c r="E64" s="12">
        <v>5</v>
      </c>
      <c r="F64" s="12" t="str" cm="1">
        <f t="array" ref="F64">_xlfn.SWITCH(E64,1,"m",2,"m",3,"m",4,"M2",5,"M2",6,"M1",7,"M1",8,"C",9,"C",10,"S/R")</f>
        <v>M2</v>
      </c>
      <c r="G64" s="12" t="s">
        <v>305</v>
      </c>
      <c r="H64" s="22">
        <v>2</v>
      </c>
      <c r="I64" s="12">
        <f t="shared" ref="I64:I70" si="7">H64*E64</f>
        <v>10</v>
      </c>
      <c r="J64" s="13" t="s">
        <v>344</v>
      </c>
      <c r="K64" s="12" t="s">
        <v>306</v>
      </c>
      <c r="L64" s="12">
        <v>7</v>
      </c>
      <c r="M64" s="12">
        <f t="shared" ref="M64:M65" si="8">E64*H64*L64</f>
        <v>70</v>
      </c>
      <c r="N64" s="37"/>
      <c r="O64" s="35"/>
      <c r="P64" s="35"/>
      <c r="Q64" s="35"/>
      <c r="R64" s="35"/>
      <c r="S64" s="35"/>
      <c r="T64" s="35"/>
      <c r="U64" s="35"/>
      <c r="V64" s="30"/>
      <c r="W64" s="114"/>
      <c r="X64" s="111"/>
      <c r="Y64" s="111"/>
      <c r="Z64" s="111"/>
      <c r="AA64" s="111"/>
      <c r="AB64" s="111"/>
      <c r="AC64" s="111"/>
      <c r="AD64" s="111"/>
      <c r="AE64" s="111"/>
      <c r="AF64" s="111"/>
      <c r="AG64" s="111"/>
      <c r="AH64" s="111"/>
      <c r="AI64" s="111"/>
      <c r="AJ64" s="111"/>
      <c r="AK64" s="111"/>
      <c r="AL64" s="112"/>
    </row>
    <row r="65" spans="1:43" s="42" customFormat="1" ht="187.5" x14ac:dyDescent="0.3">
      <c r="A65" s="219"/>
      <c r="B65" s="220"/>
      <c r="C65" s="12" t="s">
        <v>171</v>
      </c>
      <c r="D65" s="12" t="s">
        <v>163</v>
      </c>
      <c r="E65" s="12">
        <v>5</v>
      </c>
      <c r="F65" s="12" t="str" cm="1">
        <f t="array" ref="F65">_xlfn.SWITCH(E65,1,"m",2,"m",3,"m",4,"M2",5,"M2",6,"M1",7,"M1",8,"C",9,"C",10,"S/R")</f>
        <v>M2</v>
      </c>
      <c r="G65" s="102" t="s">
        <v>133</v>
      </c>
      <c r="H65" s="22">
        <v>2</v>
      </c>
      <c r="I65" s="12">
        <f t="shared" si="7"/>
        <v>10</v>
      </c>
      <c r="J65" s="13" t="s">
        <v>345</v>
      </c>
      <c r="K65" s="12" t="s">
        <v>307</v>
      </c>
      <c r="L65" s="12">
        <v>7</v>
      </c>
      <c r="M65" s="12">
        <f t="shared" si="8"/>
        <v>70</v>
      </c>
      <c r="N65" s="37"/>
      <c r="O65" s="35"/>
      <c r="P65" s="35"/>
      <c r="Q65" s="35"/>
      <c r="R65" s="35"/>
      <c r="S65" s="35"/>
      <c r="T65" s="35"/>
      <c r="U65" s="35"/>
      <c r="V65" s="30"/>
      <c r="W65" s="114"/>
      <c r="X65" s="111"/>
      <c r="Y65" s="111"/>
      <c r="Z65" s="111"/>
      <c r="AA65" s="111"/>
      <c r="AB65" s="111"/>
      <c r="AC65" s="111"/>
      <c r="AD65" s="111"/>
      <c r="AE65" s="111"/>
      <c r="AF65" s="111"/>
      <c r="AG65" s="111"/>
      <c r="AH65" s="111"/>
      <c r="AI65" s="111"/>
      <c r="AJ65" s="111"/>
      <c r="AK65" s="111"/>
      <c r="AL65" s="112"/>
      <c r="AM65" s="36"/>
      <c r="AN65" s="36"/>
      <c r="AO65" s="36"/>
      <c r="AP65" s="36"/>
      <c r="AQ65" s="36"/>
    </row>
    <row r="66" spans="1:43" s="2" customFormat="1" ht="99" customHeight="1" x14ac:dyDescent="0.3">
      <c r="A66" s="140" t="s">
        <v>70</v>
      </c>
      <c r="B66" s="64" t="s">
        <v>72</v>
      </c>
      <c r="C66" s="105" t="s">
        <v>283</v>
      </c>
      <c r="D66" s="131" t="s">
        <v>284</v>
      </c>
      <c r="E66" s="131">
        <v>4</v>
      </c>
      <c r="F66" s="12" t="str" cm="1">
        <f t="array" ref="F66">_xlfn.SWITCH(E66,1,"m",2,"m",3,"m",4,"M2",5,"M2",6,"M1",7,"M1",8,"C",9,"C",10,"S/R")</f>
        <v>M2</v>
      </c>
      <c r="G66" s="131" t="s">
        <v>285</v>
      </c>
      <c r="H66" s="131">
        <v>2</v>
      </c>
      <c r="I66" s="105">
        <f>H66*E66</f>
        <v>8</v>
      </c>
      <c r="J66" s="131" t="s">
        <v>286</v>
      </c>
      <c r="K66" s="131" t="s">
        <v>287</v>
      </c>
      <c r="L66" s="131">
        <v>5</v>
      </c>
      <c r="M66" s="106">
        <f>E66*H66*L66</f>
        <v>40</v>
      </c>
      <c r="N66" s="132"/>
      <c r="O66" s="133"/>
      <c r="P66" s="133"/>
      <c r="Q66" s="133"/>
      <c r="R66" s="133"/>
      <c r="S66" s="133"/>
      <c r="T66" s="133"/>
      <c r="U66" s="134"/>
      <c r="V66" s="145"/>
      <c r="W66" s="114"/>
      <c r="X66" s="111"/>
      <c r="Y66" s="111"/>
      <c r="Z66" s="111"/>
      <c r="AA66" s="111"/>
      <c r="AB66" s="111"/>
      <c r="AC66" s="111"/>
      <c r="AD66" s="111"/>
      <c r="AE66" s="111"/>
      <c r="AF66" s="111"/>
      <c r="AG66" s="111"/>
      <c r="AH66" s="111"/>
      <c r="AI66" s="111"/>
      <c r="AJ66" s="111"/>
      <c r="AK66" s="111"/>
      <c r="AL66" s="112"/>
      <c r="AM66" s="42"/>
      <c r="AN66" s="42"/>
      <c r="AO66" s="42"/>
      <c r="AP66" s="42"/>
      <c r="AQ66" s="42"/>
    </row>
    <row r="67" spans="1:43" s="83" customFormat="1" ht="162" customHeight="1" x14ac:dyDescent="0.25">
      <c r="A67" s="212" t="s">
        <v>71</v>
      </c>
      <c r="B67" s="214" t="s">
        <v>73</v>
      </c>
      <c r="C67" s="102" t="s">
        <v>279</v>
      </c>
      <c r="D67" s="102" t="s">
        <v>52</v>
      </c>
      <c r="E67" s="102">
        <v>7</v>
      </c>
      <c r="F67" s="12" t="str" cm="1">
        <f t="array" ref="F67">_xlfn.SWITCH(E67,1,"m",2,"m",3,"m",4,"M2",5,"M2",6,"M1",7,"M1",8,"C",9,"C",10,"S/R")</f>
        <v>M1</v>
      </c>
      <c r="G67" s="102" t="s">
        <v>37</v>
      </c>
      <c r="H67" s="102">
        <v>2</v>
      </c>
      <c r="I67" s="103">
        <f t="shared" si="7"/>
        <v>14</v>
      </c>
      <c r="J67" s="104" t="s">
        <v>280</v>
      </c>
      <c r="K67" s="102" t="s">
        <v>281</v>
      </c>
      <c r="L67" s="102">
        <v>2</v>
      </c>
      <c r="M67" s="102">
        <f>L67*H67*E67</f>
        <v>28</v>
      </c>
      <c r="N67" s="43"/>
      <c r="O67" s="135"/>
      <c r="P67" s="135"/>
      <c r="Q67" s="127"/>
      <c r="R67" s="127"/>
      <c r="S67" s="127"/>
      <c r="T67" s="127"/>
      <c r="U67" s="127"/>
      <c r="V67" s="24"/>
      <c r="W67" s="114"/>
      <c r="X67" s="111"/>
      <c r="Y67" s="111"/>
      <c r="Z67" s="111"/>
      <c r="AA67" s="111"/>
      <c r="AB67" s="111"/>
      <c r="AC67" s="111"/>
      <c r="AD67" s="111"/>
      <c r="AE67" s="111"/>
      <c r="AF67" s="111"/>
      <c r="AG67" s="111"/>
      <c r="AH67" s="111"/>
      <c r="AI67" s="111"/>
      <c r="AJ67" s="111"/>
      <c r="AK67" s="111"/>
      <c r="AL67" s="112"/>
      <c r="AM67" s="2"/>
      <c r="AN67" s="2"/>
      <c r="AO67" s="2"/>
      <c r="AP67" s="2"/>
      <c r="AQ67" s="2"/>
    </row>
    <row r="68" spans="1:43" s="83" customFormat="1" ht="146.25" customHeight="1" x14ac:dyDescent="0.25">
      <c r="A68" s="212"/>
      <c r="B68" s="214"/>
      <c r="C68" s="102" t="s">
        <v>134</v>
      </c>
      <c r="D68" s="102" t="s">
        <v>76</v>
      </c>
      <c r="E68" s="102">
        <v>6</v>
      </c>
      <c r="F68" s="12" t="str" cm="1">
        <f t="array" ref="F68">_xlfn.SWITCH(E68,1,"m",2,"m",3,"m",4,"M2",5,"M2",6,"M1",7,"M1",8,"C",9,"C",10,"S/R")</f>
        <v>M1</v>
      </c>
      <c r="G68" s="102" t="s">
        <v>135</v>
      </c>
      <c r="H68" s="102">
        <v>2</v>
      </c>
      <c r="I68" s="103">
        <f t="shared" si="7"/>
        <v>12</v>
      </c>
      <c r="J68" s="104" t="s">
        <v>324</v>
      </c>
      <c r="K68" s="102" t="s">
        <v>282</v>
      </c>
      <c r="L68" s="102">
        <v>1</v>
      </c>
      <c r="M68" s="102">
        <f t="shared" ref="M68" si="9">E68*H68*L68</f>
        <v>12</v>
      </c>
      <c r="N68" s="39"/>
      <c r="O68" s="136"/>
      <c r="P68" s="136"/>
      <c r="Q68" s="136"/>
      <c r="R68" s="136"/>
      <c r="S68" s="136"/>
      <c r="T68" s="136"/>
      <c r="U68" s="136"/>
      <c r="V68" s="146"/>
      <c r="W68" s="114"/>
      <c r="X68" s="111"/>
      <c r="Y68" s="111"/>
      <c r="Z68" s="111"/>
      <c r="AA68" s="111"/>
      <c r="AB68" s="111"/>
      <c r="AC68" s="111"/>
      <c r="AD68" s="111"/>
      <c r="AE68" s="111"/>
      <c r="AF68" s="111"/>
      <c r="AG68" s="111"/>
      <c r="AH68" s="111"/>
      <c r="AI68" s="111"/>
      <c r="AJ68" s="111"/>
      <c r="AK68" s="111"/>
      <c r="AL68" s="112"/>
    </row>
    <row r="69" spans="1:43" s="83" customFormat="1" ht="74.25" customHeight="1" x14ac:dyDescent="0.25">
      <c r="A69" s="142" t="s">
        <v>313</v>
      </c>
      <c r="B69" s="47" t="s">
        <v>314</v>
      </c>
      <c r="C69" s="48" t="s">
        <v>315</v>
      </c>
      <c r="D69" s="48" t="s">
        <v>284</v>
      </c>
      <c r="E69" s="48">
        <v>4</v>
      </c>
      <c r="F69" s="22" t="str" cm="1">
        <f t="array" ref="F69">_xlfn.SWITCH(E69,1,"m",2,"m",3,"m",4,"M2",5,"M2",6,"M1",7,"M1",8,"C",9,"C",10,"S/R")</f>
        <v>M2</v>
      </c>
      <c r="G69" s="151" t="s">
        <v>285</v>
      </c>
      <c r="H69" s="48">
        <v>2</v>
      </c>
      <c r="I69" s="12">
        <f t="shared" si="7"/>
        <v>8</v>
      </c>
      <c r="J69" s="48" t="s">
        <v>286</v>
      </c>
      <c r="K69" s="48" t="s">
        <v>306</v>
      </c>
      <c r="L69" s="48">
        <v>5</v>
      </c>
      <c r="M69" s="12">
        <f t="shared" ref="M69" si="10">L69*H69*E69</f>
        <v>40</v>
      </c>
      <c r="N69" s="147"/>
      <c r="O69" s="148"/>
      <c r="P69" s="148"/>
      <c r="Q69" s="148"/>
      <c r="R69" s="148"/>
      <c r="S69" s="148"/>
      <c r="T69" s="148"/>
      <c r="U69" s="148"/>
      <c r="V69" s="149"/>
      <c r="W69" s="114"/>
      <c r="X69" s="111"/>
      <c r="Y69" s="111"/>
      <c r="Z69" s="111"/>
      <c r="AA69" s="111"/>
      <c r="AB69" s="111"/>
      <c r="AC69" s="111"/>
      <c r="AD69" s="111"/>
      <c r="AE69" s="111"/>
      <c r="AF69" s="111"/>
      <c r="AG69" s="111"/>
      <c r="AH69" s="111"/>
      <c r="AI69" s="111"/>
      <c r="AJ69" s="111"/>
      <c r="AK69" s="111"/>
      <c r="AL69" s="112"/>
    </row>
    <row r="70" spans="1:43" s="83" customFormat="1" ht="198.75" customHeight="1" x14ac:dyDescent="0.25">
      <c r="A70" s="142" t="s">
        <v>74</v>
      </c>
      <c r="B70" s="47" t="s">
        <v>363</v>
      </c>
      <c r="C70" s="12" t="s">
        <v>322</v>
      </c>
      <c r="D70" s="12" t="s">
        <v>52</v>
      </c>
      <c r="E70" s="12">
        <v>7</v>
      </c>
      <c r="F70" s="22" t="str" cm="1">
        <f t="array" ref="F70">_xlfn.SWITCH(E70,1,"m",2,"m",3,"m",4,"M2",5,"M2",6,"M1",7,"M1",8,"C",9,"C",10,"S/R")</f>
        <v>M1</v>
      </c>
      <c r="G70" s="12" t="s">
        <v>37</v>
      </c>
      <c r="H70" s="12">
        <v>2</v>
      </c>
      <c r="I70" s="12">
        <f t="shared" si="7"/>
        <v>14</v>
      </c>
      <c r="J70" s="150" t="s">
        <v>323</v>
      </c>
      <c r="K70" s="12" t="s">
        <v>306</v>
      </c>
      <c r="L70" s="12">
        <v>2</v>
      </c>
      <c r="M70" s="12">
        <f t="shared" ref="M70" si="11">L70*H70*E70</f>
        <v>28</v>
      </c>
      <c r="N70" s="39"/>
      <c r="O70" s="136"/>
      <c r="P70" s="136"/>
      <c r="Q70" s="136"/>
      <c r="R70" s="136"/>
      <c r="S70" s="136"/>
      <c r="T70" s="136"/>
      <c r="U70" s="136"/>
      <c r="V70" s="146"/>
      <c r="W70" s="114"/>
      <c r="X70" s="111"/>
      <c r="Y70" s="111"/>
      <c r="Z70" s="111"/>
      <c r="AA70" s="111"/>
      <c r="AB70" s="111"/>
      <c r="AC70" s="111"/>
      <c r="AD70" s="111"/>
      <c r="AE70" s="111"/>
      <c r="AF70" s="111"/>
      <c r="AG70" s="111"/>
      <c r="AH70" s="111"/>
      <c r="AI70" s="111"/>
      <c r="AJ70" s="111"/>
      <c r="AK70" s="111"/>
      <c r="AL70" s="112"/>
    </row>
    <row r="71" spans="1:43" s="49" customFormat="1" ht="22.5" x14ac:dyDescent="0.55000000000000004">
      <c r="A71" s="235" t="s">
        <v>179</v>
      </c>
      <c r="B71" s="236"/>
      <c r="C71" s="236"/>
      <c r="D71" s="236"/>
      <c r="E71" s="236"/>
      <c r="F71" s="236"/>
      <c r="G71" s="236"/>
      <c r="H71" s="236"/>
      <c r="I71" s="236"/>
      <c r="J71" s="236"/>
      <c r="K71" s="236"/>
      <c r="L71" s="236"/>
      <c r="M71" s="236"/>
      <c r="N71" s="236"/>
      <c r="O71" s="236"/>
      <c r="P71" s="236"/>
      <c r="Q71" s="236"/>
      <c r="R71" s="236"/>
      <c r="S71" s="236"/>
      <c r="T71" s="236"/>
      <c r="U71" s="236"/>
      <c r="V71" s="237"/>
    </row>
    <row r="72" spans="1:43" s="49" customFormat="1" ht="22.5" x14ac:dyDescent="0.55000000000000004">
      <c r="A72" s="238"/>
      <c r="B72" s="239"/>
      <c r="C72" s="239"/>
      <c r="D72" s="239"/>
      <c r="E72" s="239"/>
      <c r="F72" s="239"/>
      <c r="G72" s="239"/>
      <c r="H72" s="239"/>
      <c r="I72" s="239"/>
      <c r="J72" s="239"/>
      <c r="K72" s="239"/>
      <c r="L72" s="239"/>
      <c r="M72" s="239"/>
      <c r="N72" s="239"/>
      <c r="O72" s="239"/>
      <c r="P72" s="239"/>
      <c r="Q72" s="239"/>
      <c r="R72" s="239"/>
      <c r="S72" s="239"/>
      <c r="T72" s="239"/>
      <c r="U72" s="239"/>
      <c r="V72" s="240"/>
    </row>
    <row r="73" spans="1:43" s="49" customFormat="1" ht="20.25" customHeight="1" x14ac:dyDescent="0.55000000000000004">
      <c r="A73" s="226" t="s">
        <v>1</v>
      </c>
      <c r="B73" s="227"/>
      <c r="C73" s="227"/>
      <c r="D73" s="227"/>
      <c r="E73" s="227"/>
      <c r="F73" s="227"/>
      <c r="G73" s="227"/>
      <c r="H73" s="227"/>
      <c r="I73" s="228"/>
      <c r="J73" s="242" t="s">
        <v>0</v>
      </c>
      <c r="K73" s="227"/>
      <c r="L73" s="227"/>
      <c r="M73" s="227"/>
      <c r="N73" s="227"/>
      <c r="O73" s="227"/>
      <c r="P73" s="227"/>
      <c r="Q73" s="227"/>
      <c r="R73" s="227"/>
      <c r="S73" s="227"/>
      <c r="T73" s="227"/>
      <c r="U73" s="227"/>
      <c r="V73" s="243"/>
    </row>
    <row r="74" spans="1:43" s="49" customFormat="1" ht="22.5" x14ac:dyDescent="0.55000000000000004">
      <c r="A74" s="229"/>
      <c r="B74" s="230"/>
      <c r="C74" s="230"/>
      <c r="D74" s="230"/>
      <c r="E74" s="230"/>
      <c r="F74" s="230"/>
      <c r="G74" s="230"/>
      <c r="H74" s="230"/>
      <c r="I74" s="231"/>
      <c r="J74" s="244"/>
      <c r="K74" s="230"/>
      <c r="L74" s="230"/>
      <c r="M74" s="230"/>
      <c r="N74" s="230"/>
      <c r="O74" s="230"/>
      <c r="P74" s="230"/>
      <c r="Q74" s="230"/>
      <c r="R74" s="230"/>
      <c r="S74" s="230"/>
      <c r="T74" s="230"/>
      <c r="U74" s="230"/>
      <c r="V74" s="245"/>
    </row>
    <row r="75" spans="1:43" s="49" customFormat="1" ht="22.5" x14ac:dyDescent="0.55000000000000004">
      <c r="A75" s="50" t="s">
        <v>82</v>
      </c>
      <c r="B75" s="51"/>
      <c r="C75" s="52"/>
      <c r="D75" s="52"/>
      <c r="E75" s="52"/>
      <c r="F75" s="52"/>
      <c r="G75" s="52"/>
      <c r="H75" s="85"/>
      <c r="I75" s="52"/>
      <c r="J75" s="61"/>
      <c r="K75" s="52"/>
      <c r="L75" s="52"/>
      <c r="M75" s="52"/>
      <c r="N75" s="52"/>
      <c r="O75" s="52"/>
      <c r="P75" s="52"/>
      <c r="Q75" s="52"/>
      <c r="R75" s="52"/>
      <c r="S75" s="52"/>
      <c r="T75" s="52"/>
      <c r="U75" s="52"/>
      <c r="V75" s="53"/>
    </row>
    <row r="76" spans="1:43" ht="23.25" thickBot="1" x14ac:dyDescent="0.6">
      <c r="A76" s="54" t="s">
        <v>38</v>
      </c>
      <c r="B76" s="55"/>
      <c r="C76" s="56"/>
      <c r="D76" s="56"/>
      <c r="E76" s="56"/>
      <c r="F76" s="56"/>
      <c r="G76" s="56"/>
      <c r="H76" s="86"/>
      <c r="I76" s="56"/>
      <c r="J76" s="62"/>
      <c r="K76" s="57"/>
      <c r="L76" s="232" t="s">
        <v>347</v>
      </c>
      <c r="M76" s="233"/>
      <c r="N76" s="233"/>
      <c r="O76" s="234"/>
      <c r="P76" s="158" t="s">
        <v>83</v>
      </c>
      <c r="Q76" s="159"/>
      <c r="R76" s="159"/>
      <c r="S76" s="159"/>
      <c r="T76" s="159"/>
      <c r="U76" s="159"/>
      <c r="V76" s="160"/>
      <c r="W76" s="49"/>
      <c r="X76" s="49"/>
      <c r="Y76" s="49"/>
      <c r="Z76" s="49"/>
      <c r="AA76" s="49"/>
      <c r="AB76" s="49"/>
      <c r="AC76" s="49"/>
      <c r="AD76" s="49"/>
      <c r="AE76" s="49"/>
      <c r="AF76" s="49"/>
      <c r="AG76" s="49"/>
      <c r="AH76" s="49"/>
      <c r="AI76" s="49"/>
      <c r="AJ76" s="49"/>
      <c r="AK76" s="49"/>
      <c r="AL76" s="49"/>
      <c r="AM76" s="49"/>
      <c r="AN76" s="49"/>
      <c r="AO76" s="49"/>
      <c r="AP76" s="49"/>
      <c r="AQ76" s="49"/>
    </row>
    <row r="88" spans="1:21" x14ac:dyDescent="0.5">
      <c r="A88" s="1"/>
      <c r="B88" s="1"/>
      <c r="C88" s="1"/>
      <c r="D88" s="1"/>
      <c r="E88" s="1"/>
      <c r="F88" s="1"/>
      <c r="G88" s="1"/>
      <c r="H88" s="82"/>
      <c r="I88" s="1"/>
      <c r="J88" s="63"/>
      <c r="K88" s="1"/>
      <c r="L88" s="1"/>
      <c r="M88" s="1"/>
      <c r="N88" s="41"/>
      <c r="O88" s="1"/>
      <c r="P88" s="1"/>
      <c r="Q88" s="1"/>
      <c r="R88" s="1"/>
      <c r="S88" s="1"/>
      <c r="T88" s="1"/>
      <c r="U88" s="1"/>
    </row>
    <row r="89" spans="1:21" x14ac:dyDescent="0.5">
      <c r="A89" s="1"/>
      <c r="B89" s="1"/>
      <c r="C89" s="1"/>
      <c r="D89" s="1"/>
      <c r="E89" s="1"/>
      <c r="F89" s="1"/>
      <c r="G89" s="1"/>
      <c r="H89" s="82"/>
      <c r="I89" s="1"/>
      <c r="J89" s="63"/>
      <c r="K89" s="1"/>
      <c r="L89" s="1"/>
      <c r="M89" s="1"/>
      <c r="N89" s="41"/>
      <c r="O89" s="1"/>
      <c r="P89" s="1"/>
      <c r="Q89" s="1"/>
      <c r="R89" s="1"/>
      <c r="S89" s="1"/>
      <c r="T89" s="1"/>
      <c r="U89" s="1"/>
    </row>
    <row r="90" spans="1:21" x14ac:dyDescent="0.5">
      <c r="A90" s="1"/>
      <c r="B90" s="1"/>
      <c r="C90" s="1"/>
      <c r="D90" s="1"/>
      <c r="E90" s="1"/>
      <c r="F90" s="1"/>
      <c r="G90" s="1"/>
      <c r="H90" s="82"/>
      <c r="I90" s="1"/>
      <c r="J90" s="63"/>
      <c r="K90" s="1"/>
      <c r="L90" s="1"/>
      <c r="M90" s="1"/>
      <c r="N90" s="41"/>
      <c r="O90" s="1"/>
      <c r="P90" s="1"/>
      <c r="Q90" s="1"/>
      <c r="R90" s="1"/>
      <c r="S90" s="1"/>
      <c r="T90" s="1"/>
      <c r="U90" s="1"/>
    </row>
    <row r="91" spans="1:21" x14ac:dyDescent="0.5">
      <c r="A91" s="1"/>
      <c r="B91" s="1"/>
      <c r="C91" s="1"/>
      <c r="D91" s="1"/>
      <c r="E91" s="1"/>
      <c r="F91" s="1"/>
      <c r="G91" s="1"/>
      <c r="H91" s="82"/>
      <c r="I91" s="1"/>
      <c r="J91" s="63"/>
      <c r="K91" s="1"/>
      <c r="L91" s="1"/>
      <c r="M91" s="1"/>
      <c r="N91" s="41"/>
      <c r="O91" s="1"/>
      <c r="P91" s="1"/>
      <c r="Q91" s="1"/>
      <c r="R91" s="1"/>
      <c r="S91" s="1"/>
      <c r="T91" s="1"/>
      <c r="U91" s="1"/>
    </row>
    <row r="92" spans="1:21" x14ac:dyDescent="0.5">
      <c r="A92" s="1"/>
      <c r="B92" s="1"/>
      <c r="C92" s="1"/>
      <c r="D92" s="1"/>
      <c r="E92" s="1"/>
      <c r="F92" s="1"/>
      <c r="G92" s="1"/>
      <c r="H92" s="82"/>
      <c r="I92" s="1"/>
      <c r="J92" s="63"/>
      <c r="K92" s="1"/>
      <c r="L92" s="1"/>
      <c r="M92" s="1"/>
      <c r="N92" s="41"/>
      <c r="O92" s="1"/>
      <c r="P92" s="1"/>
      <c r="Q92" s="1"/>
      <c r="R92" s="1"/>
      <c r="S92" s="1"/>
      <c r="T92" s="1"/>
      <c r="U92" s="1"/>
    </row>
    <row r="93" spans="1:21" x14ac:dyDescent="0.5">
      <c r="A93" s="1"/>
      <c r="B93" s="1"/>
      <c r="C93" s="1"/>
      <c r="D93" s="1"/>
      <c r="E93" s="1"/>
      <c r="F93" s="1"/>
      <c r="G93" s="1"/>
      <c r="H93" s="82"/>
      <c r="I93" s="1"/>
      <c r="J93" s="63"/>
      <c r="K93" s="1"/>
      <c r="L93" s="1"/>
      <c r="M93" s="1"/>
      <c r="N93" s="41"/>
      <c r="O93" s="1"/>
      <c r="P93" s="1"/>
      <c r="Q93" s="1"/>
      <c r="R93" s="1"/>
      <c r="S93" s="1"/>
      <c r="T93" s="1"/>
      <c r="U93" s="1"/>
    </row>
    <row r="94" spans="1:21" x14ac:dyDescent="0.5">
      <c r="A94" s="1"/>
      <c r="B94" s="1"/>
      <c r="C94" s="1"/>
      <c r="D94" s="1"/>
      <c r="E94" s="1"/>
      <c r="F94" s="1"/>
      <c r="G94" s="1"/>
      <c r="H94" s="82"/>
      <c r="I94" s="1"/>
      <c r="J94" s="63"/>
      <c r="K94" s="1"/>
      <c r="L94" s="1"/>
      <c r="M94" s="1"/>
      <c r="N94" s="41"/>
      <c r="O94" s="1"/>
      <c r="P94" s="1"/>
      <c r="Q94" s="1"/>
      <c r="R94" s="1"/>
      <c r="S94" s="1"/>
      <c r="T94" s="1"/>
      <c r="U94" s="1"/>
    </row>
    <row r="95" spans="1:21" x14ac:dyDescent="0.5">
      <c r="A95" s="1"/>
      <c r="B95" s="1"/>
      <c r="C95" s="1"/>
      <c r="D95" s="1"/>
      <c r="E95" s="1"/>
      <c r="F95" s="1"/>
      <c r="G95" s="1"/>
      <c r="H95" s="82"/>
      <c r="I95" s="1"/>
      <c r="J95" s="63"/>
      <c r="K95" s="1"/>
      <c r="L95" s="1"/>
      <c r="M95" s="1"/>
      <c r="N95" s="41"/>
      <c r="O95" s="1"/>
      <c r="P95" s="1"/>
      <c r="Q95" s="1"/>
      <c r="R95" s="1"/>
      <c r="S95" s="1"/>
      <c r="T95" s="1"/>
      <c r="U95" s="1"/>
    </row>
    <row r="96" spans="1:21" x14ac:dyDescent="0.5">
      <c r="A96" s="1"/>
      <c r="B96" s="1"/>
      <c r="C96" s="1"/>
      <c r="D96" s="1"/>
      <c r="E96" s="1"/>
      <c r="F96" s="1"/>
      <c r="G96" s="1"/>
      <c r="H96" s="82"/>
      <c r="I96" s="1"/>
      <c r="J96" s="63"/>
      <c r="K96" s="1"/>
      <c r="L96" s="1"/>
      <c r="M96" s="1"/>
      <c r="N96" s="41"/>
      <c r="O96" s="1"/>
      <c r="P96" s="1"/>
      <c r="Q96" s="1"/>
      <c r="R96" s="1"/>
      <c r="S96" s="1"/>
      <c r="T96" s="1"/>
      <c r="U96" s="1"/>
    </row>
    <row r="97" spans="1:21" x14ac:dyDescent="0.5">
      <c r="A97" s="1"/>
      <c r="B97" s="1"/>
      <c r="C97" s="1"/>
      <c r="D97" s="1"/>
      <c r="E97" s="1"/>
      <c r="F97" s="1"/>
      <c r="G97" s="1"/>
      <c r="H97" s="82"/>
      <c r="I97" s="1"/>
      <c r="J97" s="63"/>
      <c r="K97" s="1"/>
      <c r="L97" s="1"/>
      <c r="M97" s="1"/>
      <c r="N97" s="41"/>
      <c r="O97" s="1"/>
      <c r="P97" s="1"/>
      <c r="Q97" s="1"/>
      <c r="R97" s="1"/>
      <c r="S97" s="1"/>
      <c r="T97" s="1"/>
      <c r="U97" s="1"/>
    </row>
    <row r="98" spans="1:21" x14ac:dyDescent="0.5">
      <c r="A98" s="1"/>
      <c r="B98" s="1"/>
      <c r="C98" s="1"/>
      <c r="D98" s="1"/>
      <c r="E98" s="1"/>
      <c r="F98" s="1"/>
      <c r="G98" s="1"/>
      <c r="H98" s="82"/>
      <c r="I98" s="1"/>
      <c r="J98" s="63"/>
      <c r="K98" s="1"/>
      <c r="L98" s="1"/>
      <c r="M98" s="1"/>
      <c r="N98" s="41"/>
      <c r="O98" s="1"/>
      <c r="P98" s="1"/>
      <c r="Q98" s="1"/>
      <c r="R98" s="1"/>
      <c r="S98" s="1"/>
      <c r="T98" s="1"/>
      <c r="U98" s="1"/>
    </row>
    <row r="99" spans="1:21" x14ac:dyDescent="0.5">
      <c r="A99" s="1"/>
      <c r="B99" s="1"/>
      <c r="C99" s="1"/>
      <c r="D99" s="1"/>
      <c r="E99" s="1"/>
      <c r="F99" s="1"/>
      <c r="G99" s="1"/>
      <c r="H99" s="82"/>
      <c r="I99" s="1"/>
      <c r="J99" s="63"/>
      <c r="K99" s="1"/>
      <c r="L99" s="1"/>
      <c r="M99" s="1"/>
      <c r="N99" s="41"/>
      <c r="O99" s="1"/>
      <c r="P99" s="1"/>
      <c r="Q99" s="1"/>
      <c r="R99" s="1"/>
      <c r="S99" s="1"/>
      <c r="T99" s="1"/>
      <c r="U99" s="1"/>
    </row>
    <row r="100" spans="1:21" x14ac:dyDescent="0.5">
      <c r="A100" s="1"/>
      <c r="B100" s="1"/>
      <c r="C100" s="1"/>
      <c r="D100" s="1"/>
      <c r="E100" s="1"/>
      <c r="F100" s="1"/>
      <c r="G100" s="1"/>
      <c r="H100" s="82"/>
      <c r="I100" s="1"/>
      <c r="J100" s="63"/>
      <c r="K100" s="1"/>
      <c r="L100" s="1"/>
      <c r="M100" s="1"/>
      <c r="N100" s="41"/>
      <c r="O100" s="1"/>
      <c r="P100" s="1"/>
      <c r="Q100" s="1"/>
      <c r="R100" s="1"/>
      <c r="S100" s="1"/>
      <c r="T100" s="1"/>
      <c r="U100" s="1"/>
    </row>
    <row r="101" spans="1:21" x14ac:dyDescent="0.5">
      <c r="A101" s="1"/>
      <c r="B101" s="1"/>
      <c r="C101" s="1"/>
      <c r="D101" s="1"/>
      <c r="E101" s="1"/>
      <c r="F101" s="1"/>
      <c r="G101" s="1"/>
      <c r="H101" s="82"/>
      <c r="I101" s="1"/>
      <c r="J101" s="63"/>
      <c r="K101" s="1"/>
      <c r="L101" s="1"/>
      <c r="M101" s="1"/>
      <c r="N101" s="41"/>
      <c r="O101" s="1"/>
      <c r="P101" s="1"/>
      <c r="Q101" s="1"/>
      <c r="R101" s="1"/>
      <c r="S101" s="1"/>
      <c r="T101" s="1"/>
      <c r="U101" s="1"/>
    </row>
    <row r="102" spans="1:21" x14ac:dyDescent="0.5">
      <c r="A102" s="1"/>
      <c r="B102" s="1"/>
      <c r="C102" s="1"/>
      <c r="D102" s="1"/>
      <c r="E102" s="1"/>
      <c r="F102" s="1"/>
      <c r="G102" s="1"/>
      <c r="H102" s="82"/>
      <c r="I102" s="1"/>
      <c r="J102" s="63"/>
      <c r="K102" s="1"/>
      <c r="L102" s="1"/>
      <c r="M102" s="1"/>
      <c r="N102" s="41"/>
      <c r="O102" s="1"/>
      <c r="P102" s="1"/>
      <c r="Q102" s="1"/>
      <c r="R102" s="1"/>
      <c r="S102" s="1"/>
      <c r="T102" s="1"/>
      <c r="U102" s="1"/>
    </row>
    <row r="103" spans="1:21" x14ac:dyDescent="0.5">
      <c r="A103" s="1"/>
      <c r="B103" s="1"/>
      <c r="C103" s="1"/>
      <c r="D103" s="1"/>
      <c r="E103" s="1"/>
      <c r="F103" s="1"/>
      <c r="G103" s="1"/>
      <c r="H103" s="82"/>
      <c r="I103" s="1"/>
      <c r="J103" s="63"/>
      <c r="K103" s="1"/>
      <c r="L103" s="1"/>
      <c r="M103" s="1"/>
      <c r="N103" s="41"/>
      <c r="O103" s="1"/>
      <c r="P103" s="1"/>
      <c r="Q103" s="1"/>
      <c r="R103" s="1"/>
      <c r="S103" s="1"/>
      <c r="T103" s="1"/>
      <c r="U103" s="1"/>
    </row>
    <row r="104" spans="1:21" x14ac:dyDescent="0.5">
      <c r="A104" s="1"/>
      <c r="B104" s="1"/>
      <c r="C104" s="1"/>
      <c r="D104" s="1"/>
      <c r="E104" s="1"/>
      <c r="F104" s="1"/>
      <c r="G104" s="1"/>
      <c r="H104" s="82"/>
      <c r="I104" s="1"/>
      <c r="J104" s="63"/>
      <c r="K104" s="1"/>
      <c r="L104" s="1"/>
      <c r="M104" s="1"/>
      <c r="N104" s="41"/>
      <c r="O104" s="1"/>
      <c r="P104" s="1"/>
      <c r="Q104" s="1"/>
      <c r="R104" s="1"/>
      <c r="S104" s="1"/>
      <c r="T104" s="1"/>
      <c r="U104" s="1"/>
    </row>
    <row r="105" spans="1:21" x14ac:dyDescent="0.5">
      <c r="A105" s="1"/>
      <c r="B105" s="1"/>
      <c r="C105" s="1"/>
      <c r="D105" s="1"/>
      <c r="E105" s="1"/>
      <c r="F105" s="1"/>
      <c r="G105" s="1"/>
      <c r="H105" s="82"/>
      <c r="I105" s="1"/>
      <c r="J105" s="63"/>
      <c r="K105" s="1"/>
      <c r="L105" s="1"/>
      <c r="M105" s="1"/>
      <c r="N105" s="41"/>
      <c r="O105" s="1"/>
      <c r="P105" s="1"/>
      <c r="Q105" s="1"/>
      <c r="R105" s="1"/>
      <c r="S105" s="1"/>
      <c r="T105" s="1"/>
      <c r="U105" s="1"/>
    </row>
    <row r="106" spans="1:21" x14ac:dyDescent="0.5">
      <c r="A106" s="1"/>
      <c r="B106" s="1"/>
      <c r="C106" s="1"/>
      <c r="D106" s="1"/>
      <c r="E106" s="1"/>
      <c r="F106" s="1"/>
      <c r="G106" s="1"/>
      <c r="H106" s="82"/>
      <c r="I106" s="1"/>
      <c r="J106" s="63"/>
      <c r="K106" s="1"/>
      <c r="L106" s="1"/>
      <c r="M106" s="1"/>
      <c r="N106" s="41"/>
      <c r="O106" s="1"/>
      <c r="P106" s="1"/>
      <c r="Q106" s="1"/>
      <c r="R106" s="1"/>
      <c r="S106" s="1"/>
      <c r="T106" s="1"/>
      <c r="U106" s="1"/>
    </row>
    <row r="107" spans="1:21" x14ac:dyDescent="0.5">
      <c r="A107" s="1"/>
      <c r="B107" s="1"/>
      <c r="C107" s="1"/>
      <c r="D107" s="1"/>
      <c r="E107" s="1"/>
      <c r="F107" s="1"/>
      <c r="G107" s="1"/>
      <c r="H107" s="82"/>
      <c r="I107" s="1"/>
      <c r="J107" s="63"/>
      <c r="K107" s="1"/>
      <c r="L107" s="1"/>
      <c r="M107" s="1"/>
      <c r="N107" s="41"/>
      <c r="O107" s="1"/>
      <c r="P107" s="1"/>
      <c r="Q107" s="1"/>
      <c r="R107" s="1"/>
      <c r="S107" s="1"/>
      <c r="T107" s="1"/>
      <c r="U107" s="1"/>
    </row>
    <row r="108" spans="1:21" x14ac:dyDescent="0.5">
      <c r="A108" s="1"/>
      <c r="B108" s="1"/>
      <c r="C108" s="1"/>
      <c r="D108" s="1"/>
      <c r="E108" s="1"/>
      <c r="F108" s="1"/>
      <c r="G108" s="1"/>
      <c r="H108" s="82"/>
      <c r="I108" s="1"/>
      <c r="J108" s="63"/>
      <c r="K108" s="1"/>
      <c r="L108" s="1"/>
      <c r="M108" s="1"/>
      <c r="N108" s="41"/>
      <c r="O108" s="1"/>
      <c r="P108" s="1"/>
      <c r="Q108" s="1"/>
      <c r="R108" s="1"/>
      <c r="S108" s="1"/>
      <c r="T108" s="1"/>
      <c r="U108" s="1"/>
    </row>
    <row r="109" spans="1:21" x14ac:dyDescent="0.5">
      <c r="A109" s="1"/>
      <c r="B109" s="1"/>
      <c r="C109" s="1"/>
      <c r="D109" s="1"/>
      <c r="E109" s="1"/>
      <c r="F109" s="1"/>
      <c r="G109" s="1"/>
      <c r="H109" s="82"/>
      <c r="I109" s="1"/>
      <c r="J109" s="63"/>
      <c r="K109" s="1"/>
      <c r="L109" s="1"/>
      <c r="M109" s="1"/>
      <c r="N109" s="41"/>
      <c r="O109" s="1"/>
      <c r="P109" s="1"/>
      <c r="Q109" s="1"/>
      <c r="R109" s="1"/>
      <c r="S109" s="1"/>
      <c r="T109" s="1"/>
      <c r="U109" s="1"/>
    </row>
    <row r="110" spans="1:21" x14ac:dyDescent="0.5">
      <c r="A110" s="1"/>
      <c r="B110" s="1"/>
      <c r="C110" s="1"/>
      <c r="D110" s="1"/>
      <c r="E110" s="1"/>
      <c r="F110" s="1"/>
      <c r="G110" s="1"/>
      <c r="H110" s="82"/>
      <c r="I110" s="1"/>
      <c r="J110" s="63"/>
      <c r="K110" s="1"/>
      <c r="L110" s="1"/>
      <c r="M110" s="1"/>
      <c r="N110" s="41"/>
      <c r="O110" s="1"/>
      <c r="P110" s="1"/>
      <c r="Q110" s="1"/>
      <c r="R110" s="1"/>
      <c r="S110" s="1"/>
      <c r="T110" s="1"/>
      <c r="U110" s="1"/>
    </row>
    <row r="111" spans="1:21" x14ac:dyDescent="0.5">
      <c r="A111" s="1"/>
      <c r="B111" s="1"/>
      <c r="C111" s="1"/>
      <c r="D111" s="1"/>
      <c r="E111" s="1"/>
      <c r="F111" s="1"/>
      <c r="G111" s="1"/>
      <c r="H111" s="82"/>
      <c r="I111" s="1"/>
      <c r="J111" s="63"/>
      <c r="K111" s="1"/>
      <c r="L111" s="1"/>
      <c r="M111" s="1"/>
      <c r="N111" s="41"/>
      <c r="O111" s="1"/>
      <c r="P111" s="1"/>
      <c r="Q111" s="1"/>
      <c r="R111" s="1"/>
      <c r="S111" s="1"/>
      <c r="T111" s="1"/>
      <c r="U111" s="1"/>
    </row>
    <row r="112" spans="1:21" x14ac:dyDescent="0.5">
      <c r="A112" s="1"/>
      <c r="B112" s="1"/>
      <c r="C112" s="1"/>
      <c r="D112" s="1"/>
      <c r="E112" s="1"/>
      <c r="F112" s="1"/>
      <c r="G112" s="1"/>
      <c r="H112" s="82"/>
      <c r="I112" s="1"/>
      <c r="J112" s="63"/>
      <c r="K112" s="1"/>
      <c r="L112" s="1"/>
      <c r="M112" s="1"/>
      <c r="N112" s="41"/>
      <c r="O112" s="1"/>
      <c r="P112" s="1"/>
      <c r="Q112" s="1"/>
      <c r="R112" s="1"/>
      <c r="S112" s="1"/>
      <c r="T112" s="1"/>
      <c r="U112" s="1"/>
    </row>
    <row r="113" spans="1:21" x14ac:dyDescent="0.5">
      <c r="A113" s="1"/>
      <c r="B113" s="1"/>
      <c r="C113" s="1"/>
      <c r="D113" s="1"/>
      <c r="E113" s="1"/>
      <c r="F113" s="1"/>
      <c r="G113" s="1"/>
      <c r="H113" s="82"/>
      <c r="I113" s="1"/>
      <c r="J113" s="63"/>
      <c r="K113" s="1"/>
      <c r="L113" s="1"/>
      <c r="M113" s="1"/>
      <c r="N113" s="41"/>
      <c r="O113" s="1"/>
      <c r="P113" s="1"/>
      <c r="Q113" s="1"/>
      <c r="R113" s="1"/>
      <c r="S113" s="1"/>
      <c r="T113" s="1"/>
      <c r="U113" s="1"/>
    </row>
    <row r="114" spans="1:21" x14ac:dyDescent="0.5">
      <c r="A114" s="1"/>
      <c r="B114" s="1"/>
      <c r="C114" s="1"/>
      <c r="D114" s="1"/>
      <c r="E114" s="1"/>
      <c r="F114" s="1"/>
      <c r="G114" s="1"/>
      <c r="H114" s="82"/>
      <c r="I114" s="1"/>
      <c r="J114" s="63"/>
      <c r="K114" s="1"/>
      <c r="L114" s="1"/>
      <c r="M114" s="1"/>
      <c r="N114" s="41"/>
      <c r="O114" s="1"/>
      <c r="P114" s="1"/>
      <c r="Q114" s="1"/>
      <c r="R114" s="1"/>
      <c r="S114" s="1"/>
      <c r="T114" s="1"/>
      <c r="U114" s="1"/>
    </row>
    <row r="115" spans="1:21" x14ac:dyDescent="0.5">
      <c r="A115" s="1"/>
      <c r="B115" s="1"/>
      <c r="C115" s="1"/>
      <c r="D115" s="1"/>
      <c r="E115" s="1"/>
      <c r="F115" s="1"/>
      <c r="G115" s="1"/>
      <c r="H115" s="82"/>
      <c r="I115" s="1"/>
      <c r="J115" s="63"/>
      <c r="K115" s="1"/>
      <c r="L115" s="1"/>
      <c r="M115" s="1"/>
      <c r="N115" s="41"/>
      <c r="O115" s="1"/>
      <c r="P115" s="1"/>
      <c r="Q115" s="1"/>
      <c r="R115" s="1"/>
      <c r="S115" s="1"/>
      <c r="T115" s="1"/>
      <c r="U115" s="1"/>
    </row>
    <row r="116" spans="1:21" x14ac:dyDescent="0.5">
      <c r="A116" s="1"/>
      <c r="B116" s="1"/>
      <c r="C116" s="1"/>
      <c r="D116" s="1"/>
      <c r="E116" s="1"/>
      <c r="F116" s="1"/>
      <c r="G116" s="1"/>
      <c r="H116" s="82"/>
      <c r="I116" s="1"/>
      <c r="J116" s="63"/>
      <c r="K116" s="1"/>
      <c r="L116" s="1"/>
      <c r="M116" s="1"/>
      <c r="N116" s="41"/>
      <c r="O116" s="1"/>
      <c r="P116" s="1"/>
      <c r="Q116" s="1"/>
      <c r="R116" s="1"/>
      <c r="S116" s="1"/>
      <c r="T116" s="1"/>
      <c r="U116" s="1"/>
    </row>
    <row r="117" spans="1:21" x14ac:dyDescent="0.5">
      <c r="A117" s="1"/>
      <c r="B117" s="1"/>
      <c r="C117" s="1"/>
      <c r="D117" s="1"/>
      <c r="E117" s="1"/>
      <c r="F117" s="1"/>
      <c r="G117" s="1"/>
      <c r="H117" s="82"/>
      <c r="I117" s="1"/>
      <c r="J117" s="63"/>
      <c r="K117" s="1"/>
      <c r="L117" s="1"/>
      <c r="M117" s="1"/>
      <c r="N117" s="41"/>
      <c r="O117" s="1"/>
      <c r="P117" s="1"/>
      <c r="Q117" s="1"/>
      <c r="R117" s="1"/>
      <c r="S117" s="1"/>
      <c r="T117" s="1"/>
      <c r="U117" s="1"/>
    </row>
    <row r="118" spans="1:21" x14ac:dyDescent="0.5">
      <c r="A118" s="1"/>
      <c r="B118" s="1"/>
      <c r="C118" s="1"/>
      <c r="D118" s="1"/>
      <c r="E118" s="1"/>
      <c r="F118" s="1"/>
      <c r="G118" s="1"/>
      <c r="H118" s="82"/>
      <c r="I118" s="1"/>
      <c r="J118" s="63"/>
      <c r="K118" s="1"/>
      <c r="L118" s="1"/>
      <c r="M118" s="1"/>
      <c r="N118" s="41"/>
      <c r="O118" s="1"/>
      <c r="P118" s="1"/>
      <c r="Q118" s="1"/>
      <c r="R118" s="1"/>
      <c r="S118" s="1"/>
      <c r="T118" s="1"/>
      <c r="U118" s="1"/>
    </row>
    <row r="119" spans="1:21" x14ac:dyDescent="0.5">
      <c r="A119" s="1"/>
      <c r="B119" s="1"/>
      <c r="C119" s="1"/>
      <c r="D119" s="1"/>
      <c r="E119" s="1"/>
      <c r="F119" s="1"/>
      <c r="G119" s="1"/>
      <c r="H119" s="82"/>
      <c r="I119" s="1"/>
      <c r="J119" s="63"/>
      <c r="K119" s="1"/>
      <c r="L119" s="1"/>
      <c r="M119" s="1"/>
      <c r="N119" s="41"/>
      <c r="O119" s="1"/>
      <c r="P119" s="1"/>
      <c r="Q119" s="1"/>
      <c r="R119" s="1"/>
      <c r="S119" s="1"/>
      <c r="T119" s="1"/>
      <c r="U119" s="1"/>
    </row>
    <row r="120" spans="1:21" x14ac:dyDescent="0.5">
      <c r="A120" s="1"/>
      <c r="B120" s="1"/>
      <c r="C120" s="1"/>
      <c r="D120" s="1"/>
      <c r="E120" s="1"/>
      <c r="F120" s="1"/>
      <c r="G120" s="1"/>
      <c r="H120" s="82"/>
      <c r="I120" s="1"/>
      <c r="J120" s="63"/>
      <c r="K120" s="1"/>
      <c r="L120" s="1"/>
      <c r="M120" s="1"/>
      <c r="N120" s="41"/>
      <c r="O120" s="1"/>
      <c r="P120" s="1"/>
      <c r="Q120" s="1"/>
      <c r="R120" s="1"/>
      <c r="S120" s="1"/>
      <c r="T120" s="1"/>
      <c r="U120" s="1"/>
    </row>
    <row r="121" spans="1:21" x14ac:dyDescent="0.5">
      <c r="A121" s="1"/>
      <c r="B121" s="1"/>
      <c r="C121" s="1"/>
      <c r="D121" s="1"/>
      <c r="E121" s="1"/>
      <c r="F121" s="1"/>
      <c r="G121" s="1"/>
      <c r="H121" s="82"/>
      <c r="I121" s="1"/>
      <c r="J121" s="63"/>
      <c r="K121" s="1"/>
      <c r="L121" s="1"/>
      <c r="M121" s="1"/>
      <c r="N121" s="41"/>
      <c r="O121" s="1"/>
      <c r="P121" s="1"/>
      <c r="Q121" s="1"/>
      <c r="R121" s="1"/>
      <c r="S121" s="1"/>
      <c r="T121" s="1"/>
      <c r="U121" s="1"/>
    </row>
    <row r="122" spans="1:21" x14ac:dyDescent="0.5">
      <c r="A122" s="1"/>
      <c r="B122" s="1"/>
      <c r="C122" s="1"/>
      <c r="D122" s="1"/>
      <c r="E122" s="1"/>
      <c r="F122" s="1"/>
      <c r="G122" s="1"/>
      <c r="H122" s="82"/>
      <c r="I122" s="1"/>
      <c r="J122" s="63"/>
      <c r="K122" s="1"/>
      <c r="L122" s="1"/>
      <c r="M122" s="1"/>
      <c r="N122" s="41"/>
      <c r="O122" s="1"/>
      <c r="P122" s="1"/>
      <c r="Q122" s="1"/>
      <c r="R122" s="1"/>
      <c r="S122" s="1"/>
      <c r="T122" s="1"/>
      <c r="U122" s="1"/>
    </row>
    <row r="123" spans="1:21" x14ac:dyDescent="0.5">
      <c r="A123" s="1"/>
      <c r="B123" s="1"/>
      <c r="C123" s="1"/>
      <c r="D123" s="1"/>
      <c r="E123" s="1"/>
      <c r="F123" s="1"/>
      <c r="G123" s="1"/>
      <c r="H123" s="82"/>
      <c r="I123" s="1"/>
      <c r="J123" s="63"/>
      <c r="K123" s="1"/>
      <c r="L123" s="1"/>
      <c r="M123" s="1"/>
      <c r="N123" s="41"/>
      <c r="O123" s="1"/>
      <c r="P123" s="1"/>
      <c r="Q123" s="1"/>
      <c r="R123" s="1"/>
      <c r="S123" s="1"/>
      <c r="T123" s="1"/>
      <c r="U123" s="1"/>
    </row>
    <row r="124" spans="1:21" x14ac:dyDescent="0.5">
      <c r="A124" s="1"/>
      <c r="B124" s="1"/>
      <c r="C124" s="1"/>
      <c r="D124" s="1"/>
      <c r="E124" s="1"/>
      <c r="F124" s="1"/>
      <c r="G124" s="1"/>
      <c r="H124" s="82"/>
      <c r="I124" s="1"/>
      <c r="J124" s="63"/>
      <c r="K124" s="1"/>
      <c r="L124" s="1"/>
      <c r="M124" s="1"/>
      <c r="N124" s="41"/>
      <c r="O124" s="1"/>
      <c r="P124" s="1"/>
      <c r="Q124" s="1"/>
      <c r="R124" s="1"/>
      <c r="S124" s="1"/>
      <c r="T124" s="1"/>
      <c r="U124" s="1"/>
    </row>
    <row r="125" spans="1:21" x14ac:dyDescent="0.5">
      <c r="A125" s="1"/>
      <c r="B125" s="1"/>
      <c r="C125" s="1"/>
      <c r="D125" s="1"/>
      <c r="E125" s="1"/>
      <c r="F125" s="1"/>
      <c r="G125" s="1"/>
      <c r="H125" s="82"/>
      <c r="I125" s="1"/>
      <c r="J125" s="63"/>
      <c r="K125" s="1"/>
      <c r="L125" s="1"/>
      <c r="M125" s="1"/>
      <c r="N125" s="41"/>
      <c r="O125" s="1"/>
      <c r="P125" s="1"/>
      <c r="Q125" s="1"/>
      <c r="R125" s="1"/>
      <c r="S125" s="1"/>
      <c r="T125" s="1"/>
      <c r="U125" s="1"/>
    </row>
    <row r="126" spans="1:21" x14ac:dyDescent="0.5">
      <c r="A126" s="1"/>
      <c r="B126" s="1"/>
      <c r="C126" s="1"/>
      <c r="D126" s="1"/>
      <c r="E126" s="1"/>
      <c r="F126" s="1"/>
      <c r="G126" s="1"/>
      <c r="H126" s="82"/>
      <c r="I126" s="1"/>
      <c r="J126" s="63"/>
      <c r="K126" s="1"/>
      <c r="L126" s="1"/>
      <c r="M126" s="1"/>
      <c r="N126" s="41"/>
      <c r="O126" s="1"/>
      <c r="P126" s="1"/>
      <c r="Q126" s="1"/>
      <c r="R126" s="1"/>
      <c r="S126" s="1"/>
      <c r="T126" s="1"/>
      <c r="U126" s="1"/>
    </row>
    <row r="127" spans="1:21" x14ac:dyDescent="0.5">
      <c r="A127" s="1"/>
      <c r="B127" s="1"/>
      <c r="C127" s="1"/>
      <c r="D127" s="1"/>
      <c r="E127" s="1"/>
      <c r="F127" s="1"/>
      <c r="G127" s="1"/>
      <c r="H127" s="82"/>
      <c r="I127" s="1"/>
      <c r="J127" s="63"/>
      <c r="K127" s="1"/>
      <c r="L127" s="1"/>
      <c r="M127" s="1"/>
      <c r="N127" s="41"/>
      <c r="O127" s="1"/>
      <c r="P127" s="1"/>
      <c r="Q127" s="1"/>
      <c r="R127" s="1"/>
      <c r="S127" s="1"/>
      <c r="T127" s="1"/>
      <c r="U127" s="1"/>
    </row>
    <row r="128" spans="1:21" x14ac:dyDescent="0.5">
      <c r="A128" s="1"/>
      <c r="B128" s="1"/>
      <c r="C128" s="1"/>
      <c r="D128" s="1"/>
      <c r="E128" s="1"/>
      <c r="F128" s="1"/>
      <c r="G128" s="1"/>
      <c r="H128" s="82"/>
      <c r="I128" s="1"/>
      <c r="J128" s="63"/>
      <c r="K128" s="1"/>
      <c r="L128" s="1"/>
      <c r="M128" s="1"/>
      <c r="N128" s="41"/>
      <c r="O128" s="1"/>
      <c r="P128" s="1"/>
      <c r="Q128" s="1"/>
      <c r="R128" s="1"/>
      <c r="S128" s="1"/>
      <c r="T128" s="1"/>
      <c r="U128" s="1"/>
    </row>
    <row r="129" spans="1:21" x14ac:dyDescent="0.5">
      <c r="A129" s="1"/>
      <c r="B129" s="1"/>
      <c r="C129" s="1"/>
      <c r="D129" s="1"/>
      <c r="E129" s="1"/>
      <c r="F129" s="1"/>
      <c r="G129" s="1"/>
      <c r="H129" s="82"/>
      <c r="I129" s="1"/>
      <c r="J129" s="63"/>
      <c r="K129" s="1"/>
      <c r="L129" s="1"/>
      <c r="M129" s="1"/>
      <c r="N129" s="41"/>
      <c r="O129" s="1"/>
      <c r="P129" s="1"/>
      <c r="Q129" s="1"/>
      <c r="R129" s="1"/>
      <c r="S129" s="1"/>
      <c r="T129" s="1"/>
      <c r="U129" s="1"/>
    </row>
    <row r="130" spans="1:21" x14ac:dyDescent="0.5">
      <c r="A130" s="1"/>
      <c r="B130" s="1"/>
      <c r="C130" s="1"/>
      <c r="D130" s="1"/>
      <c r="E130" s="1"/>
      <c r="F130" s="1"/>
      <c r="G130" s="1"/>
      <c r="H130" s="82"/>
      <c r="I130" s="1"/>
      <c r="J130" s="63"/>
      <c r="K130" s="1"/>
      <c r="L130" s="1"/>
      <c r="M130" s="1"/>
      <c r="N130" s="41"/>
      <c r="O130" s="1"/>
      <c r="P130" s="1"/>
      <c r="Q130" s="1"/>
      <c r="R130" s="1"/>
      <c r="S130" s="1"/>
      <c r="T130" s="1"/>
      <c r="U130" s="1"/>
    </row>
    <row r="131" spans="1:21" x14ac:dyDescent="0.5">
      <c r="A131" s="1"/>
      <c r="B131" s="1"/>
      <c r="C131" s="1"/>
      <c r="D131" s="1"/>
      <c r="E131" s="1"/>
      <c r="F131" s="1"/>
      <c r="G131" s="1"/>
      <c r="H131" s="82"/>
      <c r="I131" s="1"/>
      <c r="J131" s="63"/>
      <c r="K131" s="1"/>
      <c r="L131" s="1"/>
      <c r="M131" s="1"/>
      <c r="N131" s="41"/>
      <c r="O131" s="1"/>
      <c r="P131" s="1"/>
      <c r="Q131" s="1"/>
      <c r="R131" s="1"/>
      <c r="S131" s="1"/>
      <c r="T131" s="1"/>
      <c r="U131" s="1"/>
    </row>
    <row r="132" spans="1:21" x14ac:dyDescent="0.5">
      <c r="A132" s="1"/>
      <c r="B132" s="1"/>
      <c r="C132" s="1"/>
      <c r="D132" s="1"/>
      <c r="E132" s="1"/>
      <c r="F132" s="1"/>
      <c r="G132" s="1"/>
      <c r="H132" s="82"/>
      <c r="I132" s="1"/>
      <c r="J132" s="63"/>
      <c r="K132" s="1"/>
      <c r="L132" s="1"/>
      <c r="M132" s="1"/>
      <c r="N132" s="41"/>
      <c r="O132" s="1"/>
      <c r="P132" s="1"/>
      <c r="Q132" s="1"/>
      <c r="R132" s="1"/>
      <c r="S132" s="1"/>
      <c r="T132" s="1"/>
      <c r="U132" s="1"/>
    </row>
    <row r="133" spans="1:21" x14ac:dyDescent="0.5">
      <c r="A133" s="1"/>
      <c r="B133" s="1"/>
      <c r="C133" s="1"/>
      <c r="D133" s="1"/>
      <c r="E133" s="1"/>
      <c r="F133" s="1"/>
      <c r="G133" s="1"/>
      <c r="H133" s="82"/>
      <c r="I133" s="1"/>
      <c r="J133" s="63"/>
      <c r="K133" s="1"/>
      <c r="L133" s="1"/>
      <c r="M133" s="1"/>
      <c r="N133" s="41"/>
      <c r="O133" s="1"/>
      <c r="P133" s="1"/>
      <c r="Q133" s="1"/>
      <c r="R133" s="1"/>
      <c r="S133" s="1"/>
      <c r="T133" s="1"/>
      <c r="U133" s="1"/>
    </row>
    <row r="134" spans="1:21" x14ac:dyDescent="0.5">
      <c r="A134" s="1"/>
      <c r="B134" s="1"/>
      <c r="C134" s="1"/>
      <c r="D134" s="1"/>
      <c r="E134" s="1"/>
      <c r="F134" s="1"/>
      <c r="G134" s="1"/>
      <c r="H134" s="82"/>
      <c r="I134" s="1"/>
      <c r="J134" s="63"/>
      <c r="K134" s="1"/>
      <c r="L134" s="1"/>
      <c r="M134" s="1"/>
      <c r="N134" s="41"/>
      <c r="O134" s="1"/>
      <c r="P134" s="1"/>
      <c r="Q134" s="1"/>
      <c r="R134" s="1"/>
      <c r="S134" s="1"/>
      <c r="T134" s="1"/>
      <c r="U134" s="1"/>
    </row>
    <row r="135" spans="1:21" x14ac:dyDescent="0.5">
      <c r="A135" s="1"/>
      <c r="B135" s="1"/>
      <c r="C135" s="1"/>
      <c r="D135" s="1"/>
      <c r="E135" s="1"/>
      <c r="F135" s="1"/>
      <c r="G135" s="1"/>
      <c r="H135" s="82"/>
      <c r="I135" s="1"/>
      <c r="J135" s="63"/>
      <c r="K135" s="1"/>
      <c r="L135" s="1"/>
      <c r="M135" s="1"/>
      <c r="N135" s="41"/>
      <c r="O135" s="1"/>
      <c r="P135" s="1"/>
      <c r="Q135" s="1"/>
      <c r="R135" s="1"/>
      <c r="S135" s="1"/>
      <c r="T135" s="1"/>
      <c r="U135" s="1"/>
    </row>
    <row r="136" spans="1:21" x14ac:dyDescent="0.5">
      <c r="A136" s="1"/>
      <c r="B136" s="1"/>
      <c r="C136" s="1"/>
      <c r="D136" s="1"/>
      <c r="E136" s="1"/>
      <c r="F136" s="1"/>
      <c r="G136" s="1"/>
      <c r="H136" s="82"/>
      <c r="I136" s="1"/>
      <c r="J136" s="63"/>
      <c r="K136" s="1"/>
      <c r="L136" s="1"/>
      <c r="M136" s="1"/>
      <c r="N136" s="41"/>
      <c r="O136" s="1"/>
      <c r="P136" s="1"/>
      <c r="Q136" s="1"/>
      <c r="R136" s="1"/>
      <c r="S136" s="1"/>
      <c r="T136" s="1"/>
      <c r="U136" s="1"/>
    </row>
    <row r="137" spans="1:21" x14ac:dyDescent="0.5">
      <c r="A137" s="1"/>
      <c r="B137" s="1"/>
      <c r="C137" s="1"/>
      <c r="D137" s="1"/>
      <c r="E137" s="1"/>
      <c r="F137" s="1"/>
      <c r="G137" s="1"/>
      <c r="H137" s="82"/>
      <c r="I137" s="1"/>
      <c r="J137" s="63"/>
      <c r="K137" s="1"/>
      <c r="L137" s="1"/>
      <c r="M137" s="1"/>
      <c r="N137" s="41"/>
      <c r="O137" s="1"/>
      <c r="P137" s="1"/>
      <c r="Q137" s="1"/>
      <c r="R137" s="1"/>
      <c r="S137" s="1"/>
      <c r="T137" s="1"/>
      <c r="U137" s="1"/>
    </row>
    <row r="138" spans="1:21" x14ac:dyDescent="0.5">
      <c r="A138" s="1"/>
      <c r="B138" s="1"/>
      <c r="C138" s="1"/>
      <c r="D138" s="1"/>
      <c r="E138" s="1"/>
      <c r="F138" s="1"/>
      <c r="G138" s="1"/>
      <c r="H138" s="82"/>
      <c r="I138" s="1"/>
      <c r="J138" s="63"/>
      <c r="K138" s="1"/>
      <c r="L138" s="1"/>
      <c r="M138" s="1"/>
      <c r="N138" s="41"/>
      <c r="O138" s="1"/>
      <c r="P138" s="1"/>
      <c r="Q138" s="1"/>
      <c r="R138" s="1"/>
      <c r="S138" s="1"/>
      <c r="T138" s="1"/>
      <c r="U138" s="1"/>
    </row>
    <row r="139" spans="1:21" x14ac:dyDescent="0.5">
      <c r="A139" s="1"/>
      <c r="B139" s="1"/>
      <c r="C139" s="1"/>
      <c r="D139" s="1"/>
      <c r="E139" s="1"/>
      <c r="F139" s="1"/>
      <c r="G139" s="1"/>
      <c r="H139" s="82"/>
      <c r="I139" s="1"/>
      <c r="J139" s="63"/>
      <c r="K139" s="1"/>
      <c r="L139" s="1"/>
      <c r="M139" s="1"/>
      <c r="N139" s="41"/>
      <c r="O139" s="1"/>
      <c r="P139" s="1"/>
      <c r="Q139" s="1"/>
      <c r="R139" s="1"/>
      <c r="S139" s="1"/>
      <c r="T139" s="1"/>
      <c r="U139" s="1"/>
    </row>
    <row r="140" spans="1:21" x14ac:dyDescent="0.5">
      <c r="A140" s="1"/>
      <c r="B140" s="1"/>
      <c r="C140" s="1"/>
      <c r="D140" s="1"/>
      <c r="E140" s="1"/>
      <c r="F140" s="1"/>
      <c r="G140" s="1"/>
      <c r="H140" s="82"/>
      <c r="I140" s="1"/>
      <c r="J140" s="63"/>
      <c r="K140" s="1"/>
      <c r="L140" s="1"/>
      <c r="M140" s="1"/>
      <c r="N140" s="41"/>
      <c r="O140" s="1"/>
      <c r="P140" s="1"/>
      <c r="Q140" s="1"/>
      <c r="R140" s="1"/>
      <c r="S140" s="1"/>
      <c r="T140" s="1"/>
      <c r="U140" s="1"/>
    </row>
    <row r="141" spans="1:21" x14ac:dyDescent="0.5">
      <c r="A141" s="1"/>
      <c r="B141" s="1"/>
      <c r="C141" s="1"/>
      <c r="D141" s="1"/>
      <c r="E141" s="1"/>
      <c r="F141" s="1"/>
      <c r="G141" s="1"/>
      <c r="H141" s="82"/>
      <c r="I141" s="1"/>
      <c r="J141" s="63"/>
      <c r="K141" s="1"/>
      <c r="L141" s="1"/>
      <c r="M141" s="1"/>
      <c r="N141" s="41"/>
      <c r="O141" s="1"/>
      <c r="P141" s="1"/>
      <c r="Q141" s="1"/>
      <c r="R141" s="1"/>
      <c r="S141" s="1"/>
      <c r="T141" s="1"/>
      <c r="U141" s="1"/>
    </row>
    <row r="142" spans="1:21" x14ac:dyDescent="0.5">
      <c r="A142" s="1"/>
      <c r="B142" s="1"/>
      <c r="C142" s="1"/>
      <c r="D142" s="1"/>
      <c r="E142" s="1"/>
      <c r="F142" s="1"/>
      <c r="G142" s="1"/>
      <c r="H142" s="82"/>
      <c r="I142" s="1"/>
      <c r="J142" s="63"/>
      <c r="K142" s="1"/>
      <c r="L142" s="1"/>
      <c r="M142" s="1"/>
      <c r="N142" s="41"/>
      <c r="O142" s="1"/>
      <c r="P142" s="1"/>
      <c r="Q142" s="1"/>
      <c r="R142" s="1"/>
      <c r="S142" s="1"/>
      <c r="T142" s="1"/>
      <c r="U142" s="1"/>
    </row>
    <row r="143" spans="1:21" x14ac:dyDescent="0.5">
      <c r="A143" s="1"/>
      <c r="B143" s="1"/>
      <c r="C143" s="1"/>
      <c r="D143" s="1"/>
      <c r="E143" s="1"/>
      <c r="F143" s="1"/>
      <c r="G143" s="1"/>
      <c r="H143" s="82"/>
      <c r="I143" s="1"/>
      <c r="J143" s="63"/>
      <c r="K143" s="1"/>
      <c r="L143" s="1"/>
      <c r="M143" s="1"/>
      <c r="N143" s="41"/>
      <c r="O143" s="1"/>
      <c r="P143" s="1"/>
      <c r="Q143" s="1"/>
      <c r="R143" s="1"/>
      <c r="S143" s="1"/>
      <c r="T143" s="1"/>
      <c r="U143" s="1"/>
    </row>
    <row r="144" spans="1:21" x14ac:dyDescent="0.5">
      <c r="A144" s="1"/>
      <c r="B144" s="1"/>
      <c r="C144" s="1"/>
      <c r="D144" s="1"/>
      <c r="E144" s="1"/>
      <c r="F144" s="1"/>
      <c r="G144" s="1"/>
      <c r="H144" s="82"/>
      <c r="I144" s="1"/>
      <c r="J144" s="63"/>
      <c r="K144" s="1"/>
      <c r="L144" s="1"/>
      <c r="M144" s="1"/>
      <c r="N144" s="41"/>
      <c r="O144" s="1"/>
      <c r="P144" s="1"/>
      <c r="Q144" s="1"/>
      <c r="R144" s="1"/>
      <c r="S144" s="1"/>
      <c r="T144" s="1"/>
      <c r="U144" s="1"/>
    </row>
    <row r="145" spans="1:21" x14ac:dyDescent="0.5">
      <c r="A145" s="1"/>
      <c r="B145" s="1"/>
      <c r="C145" s="1"/>
      <c r="D145" s="1"/>
      <c r="E145" s="1"/>
      <c r="F145" s="1"/>
      <c r="G145" s="1"/>
      <c r="H145" s="82"/>
      <c r="I145" s="1"/>
      <c r="J145" s="63"/>
      <c r="K145" s="1"/>
      <c r="L145" s="1"/>
      <c r="M145" s="1"/>
      <c r="N145" s="41"/>
      <c r="O145" s="1"/>
      <c r="P145" s="1"/>
      <c r="Q145" s="1"/>
      <c r="R145" s="1"/>
      <c r="S145" s="1"/>
      <c r="T145" s="1"/>
      <c r="U145" s="1"/>
    </row>
    <row r="146" spans="1:21" x14ac:dyDescent="0.5">
      <c r="A146" s="1"/>
      <c r="B146" s="1"/>
      <c r="C146" s="1"/>
      <c r="D146" s="1"/>
      <c r="E146" s="1"/>
      <c r="F146" s="1"/>
      <c r="G146" s="1"/>
      <c r="H146" s="82"/>
      <c r="I146" s="1"/>
      <c r="J146" s="63"/>
      <c r="K146" s="1"/>
      <c r="L146" s="1"/>
      <c r="M146" s="1"/>
      <c r="N146" s="41"/>
      <c r="O146" s="1"/>
      <c r="P146" s="1"/>
      <c r="Q146" s="1"/>
      <c r="R146" s="1"/>
      <c r="S146" s="1"/>
      <c r="T146" s="1"/>
      <c r="U146" s="1"/>
    </row>
    <row r="147" spans="1:21" x14ac:dyDescent="0.5">
      <c r="A147" s="1"/>
      <c r="B147" s="1"/>
      <c r="C147" s="1"/>
      <c r="D147" s="1"/>
      <c r="E147" s="1"/>
      <c r="F147" s="1"/>
      <c r="G147" s="1"/>
      <c r="H147" s="82"/>
      <c r="I147" s="1"/>
      <c r="J147" s="63"/>
      <c r="K147" s="1"/>
      <c r="L147" s="1"/>
      <c r="M147" s="1"/>
      <c r="N147" s="41"/>
      <c r="O147" s="1"/>
      <c r="P147" s="1"/>
      <c r="Q147" s="1"/>
      <c r="R147" s="1"/>
      <c r="S147" s="1"/>
      <c r="T147" s="1"/>
      <c r="U147" s="1"/>
    </row>
    <row r="148" spans="1:21" x14ac:dyDescent="0.5">
      <c r="A148" s="1"/>
      <c r="B148" s="1"/>
      <c r="C148" s="1"/>
      <c r="D148" s="1"/>
      <c r="E148" s="1"/>
      <c r="F148" s="1"/>
      <c r="G148" s="1"/>
      <c r="H148" s="82"/>
      <c r="I148" s="1"/>
      <c r="J148" s="63"/>
      <c r="K148" s="1"/>
      <c r="L148" s="1"/>
      <c r="M148" s="1"/>
      <c r="N148" s="41"/>
      <c r="O148" s="1"/>
      <c r="P148" s="1"/>
      <c r="Q148" s="1"/>
      <c r="R148" s="1"/>
      <c r="S148" s="1"/>
      <c r="T148" s="1"/>
      <c r="U148" s="1"/>
    </row>
    <row r="149" spans="1:21" x14ac:dyDescent="0.5">
      <c r="A149" s="1"/>
      <c r="B149" s="1"/>
      <c r="C149" s="1"/>
      <c r="D149" s="1"/>
      <c r="E149" s="1"/>
      <c r="F149" s="1"/>
      <c r="G149" s="1"/>
      <c r="H149" s="82"/>
      <c r="I149" s="1"/>
      <c r="J149" s="63"/>
      <c r="K149" s="1"/>
      <c r="L149" s="1"/>
      <c r="M149" s="1"/>
      <c r="N149" s="41"/>
      <c r="O149" s="1"/>
      <c r="P149" s="1"/>
      <c r="Q149" s="1"/>
      <c r="R149" s="1"/>
      <c r="S149" s="1"/>
      <c r="T149" s="1"/>
      <c r="U149" s="1"/>
    </row>
    <row r="150" spans="1:21" x14ac:dyDescent="0.5">
      <c r="A150" s="1"/>
      <c r="B150" s="1"/>
      <c r="C150" s="1"/>
      <c r="D150" s="1"/>
      <c r="E150" s="1"/>
      <c r="F150" s="1"/>
      <c r="G150" s="1"/>
      <c r="H150" s="82"/>
      <c r="I150" s="1"/>
      <c r="J150" s="63"/>
      <c r="K150" s="1"/>
      <c r="L150" s="1"/>
      <c r="M150" s="1"/>
      <c r="N150" s="41"/>
      <c r="O150" s="1"/>
      <c r="P150" s="1"/>
      <c r="Q150" s="1"/>
      <c r="R150" s="1"/>
      <c r="S150" s="1"/>
      <c r="T150" s="1"/>
      <c r="U150" s="1"/>
    </row>
    <row r="151" spans="1:21" x14ac:dyDescent="0.5">
      <c r="A151" s="1"/>
      <c r="B151" s="1"/>
      <c r="C151" s="1"/>
      <c r="D151" s="1"/>
      <c r="E151" s="1"/>
      <c r="F151" s="1"/>
      <c r="G151" s="1"/>
      <c r="H151" s="82"/>
      <c r="I151" s="1"/>
      <c r="J151" s="63"/>
      <c r="K151" s="1"/>
      <c r="L151" s="1"/>
      <c r="M151" s="1"/>
      <c r="N151" s="41"/>
      <c r="O151" s="1"/>
      <c r="P151" s="1"/>
      <c r="Q151" s="1"/>
      <c r="R151" s="1"/>
      <c r="S151" s="1"/>
      <c r="T151" s="1"/>
      <c r="U151" s="1"/>
    </row>
    <row r="152" spans="1:21" x14ac:dyDescent="0.5">
      <c r="A152" s="1"/>
      <c r="B152" s="1"/>
      <c r="C152" s="1"/>
      <c r="D152" s="1"/>
      <c r="E152" s="1"/>
      <c r="F152" s="1"/>
      <c r="G152" s="1"/>
      <c r="H152" s="82"/>
      <c r="I152" s="1"/>
      <c r="J152" s="63"/>
      <c r="K152" s="1"/>
      <c r="L152" s="1"/>
      <c r="M152" s="1"/>
      <c r="N152" s="41"/>
      <c r="O152" s="1"/>
      <c r="P152" s="1"/>
      <c r="Q152" s="1"/>
      <c r="R152" s="1"/>
      <c r="S152" s="1"/>
      <c r="T152" s="1"/>
      <c r="U152" s="1"/>
    </row>
    <row r="153" spans="1:21" x14ac:dyDescent="0.5">
      <c r="A153" s="1"/>
      <c r="B153" s="1"/>
      <c r="C153" s="1"/>
      <c r="D153" s="1"/>
      <c r="E153" s="1"/>
      <c r="F153" s="1"/>
      <c r="G153" s="1"/>
      <c r="H153" s="82"/>
      <c r="I153" s="1"/>
      <c r="J153" s="63"/>
      <c r="K153" s="1"/>
      <c r="L153" s="1"/>
      <c r="M153" s="1"/>
      <c r="N153" s="41"/>
      <c r="O153" s="1"/>
      <c r="P153" s="1"/>
      <c r="Q153" s="1"/>
      <c r="R153" s="1"/>
      <c r="S153" s="1"/>
      <c r="T153" s="1"/>
      <c r="U153" s="1"/>
    </row>
    <row r="154" spans="1:21" x14ac:dyDescent="0.5">
      <c r="A154" s="1"/>
      <c r="B154" s="1"/>
      <c r="C154" s="1"/>
      <c r="D154" s="1"/>
      <c r="E154" s="1"/>
      <c r="F154" s="1"/>
      <c r="G154" s="1"/>
      <c r="H154" s="82"/>
      <c r="I154" s="1"/>
      <c r="J154" s="63"/>
      <c r="K154" s="1"/>
      <c r="L154" s="1"/>
      <c r="M154" s="1"/>
      <c r="N154" s="41"/>
      <c r="O154" s="1"/>
      <c r="P154" s="1"/>
      <c r="Q154" s="1"/>
      <c r="R154" s="1"/>
      <c r="S154" s="1"/>
      <c r="T154" s="1"/>
      <c r="U154" s="1"/>
    </row>
    <row r="155" spans="1:21" x14ac:dyDescent="0.5">
      <c r="A155" s="1"/>
      <c r="B155" s="1"/>
      <c r="C155" s="1"/>
      <c r="D155" s="1"/>
      <c r="E155" s="1"/>
      <c r="F155" s="1"/>
      <c r="G155" s="1"/>
      <c r="H155" s="82"/>
      <c r="I155" s="1"/>
      <c r="J155" s="63"/>
      <c r="K155" s="1"/>
      <c r="L155" s="1"/>
      <c r="M155" s="1"/>
      <c r="N155" s="41"/>
      <c r="O155" s="1"/>
      <c r="P155" s="1"/>
      <c r="Q155" s="1"/>
      <c r="R155" s="1"/>
      <c r="S155" s="1"/>
      <c r="T155" s="1"/>
      <c r="U155" s="1"/>
    </row>
    <row r="156" spans="1:21" x14ac:dyDescent="0.5">
      <c r="A156" s="1"/>
      <c r="B156" s="1"/>
      <c r="C156" s="1"/>
      <c r="D156" s="1"/>
      <c r="E156" s="1"/>
      <c r="F156" s="1"/>
      <c r="G156" s="1"/>
      <c r="H156" s="82"/>
      <c r="I156" s="1"/>
      <c r="J156" s="63"/>
      <c r="K156" s="1"/>
      <c r="L156" s="1"/>
      <c r="M156" s="1"/>
      <c r="N156" s="41"/>
      <c r="O156" s="1"/>
      <c r="P156" s="1"/>
      <c r="Q156" s="1"/>
      <c r="R156" s="1"/>
      <c r="S156" s="1"/>
      <c r="T156" s="1"/>
      <c r="U156" s="1"/>
    </row>
    <row r="157" spans="1:21" x14ac:dyDescent="0.5">
      <c r="A157" s="1"/>
      <c r="B157" s="1"/>
      <c r="C157" s="1"/>
      <c r="D157" s="1"/>
      <c r="E157" s="1"/>
      <c r="F157" s="1"/>
      <c r="G157" s="1"/>
      <c r="H157" s="82"/>
      <c r="I157" s="1"/>
      <c r="J157" s="63"/>
      <c r="K157" s="1"/>
      <c r="L157" s="1"/>
      <c r="M157" s="1"/>
      <c r="N157" s="41"/>
      <c r="O157" s="1"/>
      <c r="P157" s="1"/>
      <c r="Q157" s="1"/>
      <c r="R157" s="1"/>
      <c r="S157" s="1"/>
      <c r="T157" s="1"/>
      <c r="U157" s="1"/>
    </row>
    <row r="158" spans="1:21" x14ac:dyDescent="0.5">
      <c r="A158" s="1"/>
      <c r="B158" s="1"/>
      <c r="C158" s="1"/>
      <c r="D158" s="1"/>
      <c r="E158" s="1"/>
      <c r="F158" s="1"/>
      <c r="G158" s="1"/>
      <c r="H158" s="82"/>
      <c r="I158" s="1"/>
      <c r="J158" s="63"/>
      <c r="K158" s="1"/>
      <c r="L158" s="1"/>
      <c r="M158" s="1"/>
      <c r="N158" s="41"/>
      <c r="O158" s="1"/>
      <c r="P158" s="1"/>
      <c r="Q158" s="1"/>
      <c r="R158" s="1"/>
      <c r="S158" s="1"/>
      <c r="T158" s="1"/>
      <c r="U158" s="1"/>
    </row>
    <row r="159" spans="1:21" x14ac:dyDescent="0.5">
      <c r="A159" s="1"/>
      <c r="B159" s="1"/>
      <c r="C159" s="1"/>
      <c r="D159" s="1"/>
      <c r="E159" s="1"/>
      <c r="F159" s="1"/>
      <c r="G159" s="1"/>
      <c r="H159" s="82"/>
      <c r="I159" s="1"/>
      <c r="J159" s="63"/>
      <c r="K159" s="1"/>
      <c r="L159" s="1"/>
      <c r="M159" s="1"/>
      <c r="N159" s="41"/>
      <c r="O159" s="1"/>
      <c r="P159" s="1"/>
      <c r="Q159" s="1"/>
      <c r="R159" s="1"/>
      <c r="S159" s="1"/>
      <c r="T159" s="1"/>
      <c r="U159" s="1"/>
    </row>
    <row r="160" spans="1:21" x14ac:dyDescent="0.5">
      <c r="A160" s="1"/>
      <c r="B160" s="1"/>
      <c r="C160" s="1"/>
      <c r="D160" s="1"/>
      <c r="E160" s="1"/>
      <c r="F160" s="1"/>
      <c r="G160" s="1"/>
      <c r="H160" s="82"/>
      <c r="I160" s="1"/>
      <c r="J160" s="63"/>
      <c r="K160" s="1"/>
      <c r="L160" s="1"/>
      <c r="M160" s="1"/>
      <c r="N160" s="41"/>
      <c r="O160" s="1"/>
      <c r="P160" s="1"/>
      <c r="Q160" s="1"/>
      <c r="R160" s="1"/>
      <c r="S160" s="1"/>
      <c r="T160" s="1"/>
      <c r="U160" s="1"/>
    </row>
    <row r="161" spans="1:21" x14ac:dyDescent="0.5">
      <c r="A161" s="1"/>
      <c r="B161" s="1"/>
      <c r="C161" s="1"/>
      <c r="D161" s="1"/>
      <c r="E161" s="1"/>
      <c r="F161" s="1"/>
      <c r="G161" s="1"/>
      <c r="H161" s="82"/>
      <c r="I161" s="1"/>
      <c r="J161" s="63"/>
      <c r="K161" s="1"/>
      <c r="L161" s="1"/>
      <c r="M161" s="1"/>
      <c r="N161" s="41"/>
      <c r="O161" s="1"/>
      <c r="P161" s="1"/>
      <c r="Q161" s="1"/>
      <c r="R161" s="1"/>
      <c r="S161" s="1"/>
      <c r="T161" s="1"/>
      <c r="U161" s="1"/>
    </row>
    <row r="162" spans="1:21" x14ac:dyDescent="0.5">
      <c r="A162" s="1"/>
      <c r="B162" s="1"/>
      <c r="C162" s="1"/>
      <c r="D162" s="1"/>
      <c r="E162" s="1"/>
      <c r="F162" s="1"/>
      <c r="G162" s="1"/>
      <c r="H162" s="82"/>
      <c r="I162" s="1"/>
      <c r="J162" s="63"/>
      <c r="K162" s="1"/>
      <c r="L162" s="1"/>
      <c r="M162" s="1"/>
      <c r="N162" s="41"/>
      <c r="O162" s="1"/>
      <c r="P162" s="1"/>
      <c r="Q162" s="1"/>
      <c r="R162" s="1"/>
      <c r="S162" s="1"/>
      <c r="T162" s="1"/>
      <c r="U162" s="1"/>
    </row>
    <row r="163" spans="1:21" x14ac:dyDescent="0.5">
      <c r="A163" s="1"/>
      <c r="B163" s="1"/>
      <c r="C163" s="1"/>
      <c r="D163" s="1"/>
      <c r="E163" s="1"/>
      <c r="F163" s="1"/>
      <c r="G163" s="1"/>
      <c r="H163" s="82"/>
      <c r="I163" s="1"/>
      <c r="J163" s="63"/>
      <c r="K163" s="1"/>
      <c r="L163" s="1"/>
      <c r="M163" s="1"/>
      <c r="N163" s="41"/>
      <c r="O163" s="1"/>
      <c r="P163" s="1"/>
      <c r="Q163" s="1"/>
      <c r="R163" s="1"/>
      <c r="S163" s="1"/>
      <c r="T163" s="1"/>
      <c r="U163" s="1"/>
    </row>
    <row r="164" spans="1:21" x14ac:dyDescent="0.5">
      <c r="A164" s="1"/>
      <c r="B164" s="1"/>
      <c r="C164" s="1"/>
      <c r="D164" s="1"/>
      <c r="E164" s="1"/>
      <c r="F164" s="1"/>
      <c r="G164" s="1"/>
      <c r="H164" s="82"/>
      <c r="I164" s="1"/>
      <c r="J164" s="63"/>
      <c r="K164" s="1"/>
      <c r="L164" s="1"/>
      <c r="M164" s="1"/>
      <c r="N164" s="41"/>
      <c r="O164" s="1"/>
      <c r="P164" s="1"/>
      <c r="Q164" s="1"/>
      <c r="R164" s="1"/>
      <c r="S164" s="1"/>
      <c r="T164" s="1"/>
      <c r="U164" s="1"/>
    </row>
    <row r="165" spans="1:21" x14ac:dyDescent="0.5">
      <c r="A165" s="1"/>
      <c r="B165" s="1"/>
      <c r="C165" s="1"/>
      <c r="D165" s="1"/>
      <c r="E165" s="1"/>
      <c r="F165" s="1"/>
      <c r="G165" s="1"/>
      <c r="H165" s="82"/>
      <c r="I165" s="1"/>
      <c r="J165" s="63"/>
      <c r="K165" s="1"/>
      <c r="L165" s="1"/>
      <c r="M165" s="1"/>
      <c r="N165" s="41"/>
      <c r="O165" s="1"/>
      <c r="P165" s="1"/>
      <c r="Q165" s="1"/>
      <c r="R165" s="1"/>
      <c r="S165" s="1"/>
      <c r="T165" s="1"/>
      <c r="U165" s="1"/>
    </row>
    <row r="166" spans="1:21" x14ac:dyDescent="0.5">
      <c r="A166" s="1"/>
      <c r="B166" s="1"/>
      <c r="C166" s="1"/>
      <c r="D166" s="1"/>
      <c r="E166" s="1"/>
      <c r="F166" s="1"/>
      <c r="G166" s="1"/>
      <c r="H166" s="82"/>
      <c r="I166" s="1"/>
      <c r="J166" s="63"/>
      <c r="K166" s="1"/>
      <c r="L166" s="1"/>
      <c r="M166" s="1"/>
      <c r="N166" s="41"/>
      <c r="O166" s="1"/>
      <c r="P166" s="1"/>
      <c r="Q166" s="1"/>
      <c r="R166" s="1"/>
      <c r="S166" s="1"/>
      <c r="T166" s="1"/>
      <c r="U166" s="1"/>
    </row>
    <row r="167" spans="1:21" x14ac:dyDescent="0.5">
      <c r="A167" s="1"/>
      <c r="B167" s="1"/>
      <c r="C167" s="1"/>
      <c r="D167" s="1"/>
      <c r="E167" s="1"/>
      <c r="F167" s="1"/>
      <c r="G167" s="1"/>
      <c r="H167" s="82"/>
      <c r="I167" s="1"/>
      <c r="J167" s="63"/>
      <c r="K167" s="1"/>
      <c r="L167" s="1"/>
      <c r="M167" s="1"/>
      <c r="N167" s="41"/>
      <c r="O167" s="1"/>
      <c r="P167" s="1"/>
      <c r="Q167" s="1"/>
      <c r="R167" s="1"/>
      <c r="S167" s="1"/>
      <c r="T167" s="1"/>
      <c r="U167" s="1"/>
    </row>
    <row r="168" spans="1:21" x14ac:dyDescent="0.5">
      <c r="A168" s="1"/>
      <c r="B168" s="1"/>
      <c r="C168" s="1"/>
      <c r="D168" s="1"/>
      <c r="E168" s="1"/>
      <c r="F168" s="1"/>
      <c r="G168" s="1"/>
      <c r="H168" s="82"/>
      <c r="I168" s="1"/>
      <c r="J168" s="63"/>
      <c r="K168" s="1"/>
      <c r="L168" s="1"/>
      <c r="M168" s="1"/>
      <c r="N168" s="41"/>
      <c r="O168" s="1"/>
      <c r="P168" s="1"/>
      <c r="Q168" s="1"/>
      <c r="R168" s="1"/>
      <c r="S168" s="1"/>
      <c r="T168" s="1"/>
      <c r="U168" s="1"/>
    </row>
    <row r="169" spans="1:21" x14ac:dyDescent="0.5">
      <c r="A169" s="1"/>
      <c r="B169" s="1"/>
      <c r="C169" s="1"/>
      <c r="D169" s="1"/>
      <c r="E169" s="1"/>
      <c r="F169" s="1"/>
      <c r="G169" s="1"/>
      <c r="H169" s="82"/>
      <c r="I169" s="1"/>
      <c r="J169" s="63"/>
      <c r="K169" s="1"/>
      <c r="L169" s="1"/>
      <c r="M169" s="1"/>
      <c r="N169" s="41"/>
      <c r="O169" s="1"/>
      <c r="P169" s="1"/>
      <c r="Q169" s="1"/>
      <c r="R169" s="1"/>
      <c r="S169" s="1"/>
      <c r="T169" s="1"/>
      <c r="U169" s="1"/>
    </row>
    <row r="170" spans="1:21" x14ac:dyDescent="0.5">
      <c r="A170" s="1"/>
      <c r="B170" s="1"/>
      <c r="C170" s="1"/>
      <c r="D170" s="1"/>
      <c r="E170" s="1"/>
      <c r="F170" s="1"/>
      <c r="G170" s="1"/>
      <c r="H170" s="82"/>
      <c r="I170" s="1"/>
      <c r="J170" s="63"/>
      <c r="K170" s="1"/>
      <c r="L170" s="1"/>
      <c r="M170" s="1"/>
      <c r="N170" s="41"/>
      <c r="O170" s="1"/>
      <c r="P170" s="1"/>
      <c r="Q170" s="1"/>
      <c r="R170" s="1"/>
      <c r="S170" s="1"/>
      <c r="T170" s="1"/>
      <c r="U170" s="1"/>
    </row>
    <row r="171" spans="1:21" x14ac:dyDescent="0.5">
      <c r="A171" s="1"/>
      <c r="B171" s="1"/>
      <c r="C171" s="1"/>
      <c r="D171" s="1"/>
      <c r="E171" s="1"/>
      <c r="F171" s="1"/>
      <c r="G171" s="1"/>
      <c r="H171" s="82"/>
      <c r="I171" s="1"/>
      <c r="J171" s="63"/>
      <c r="K171" s="1"/>
      <c r="L171" s="1"/>
      <c r="M171" s="1"/>
      <c r="N171" s="41"/>
      <c r="O171" s="1"/>
      <c r="P171" s="1"/>
      <c r="Q171" s="1"/>
      <c r="R171" s="1"/>
      <c r="S171" s="1"/>
      <c r="T171" s="1"/>
      <c r="U171" s="1"/>
    </row>
    <row r="172" spans="1:21" x14ac:dyDescent="0.5">
      <c r="A172" s="1"/>
      <c r="B172" s="1"/>
      <c r="C172" s="1"/>
      <c r="D172" s="1"/>
      <c r="E172" s="1"/>
      <c r="F172" s="1"/>
      <c r="G172" s="1"/>
      <c r="H172" s="82"/>
      <c r="I172" s="1"/>
      <c r="J172" s="63"/>
      <c r="K172" s="1"/>
      <c r="L172" s="1"/>
      <c r="M172" s="1"/>
      <c r="N172" s="41"/>
      <c r="O172" s="1"/>
      <c r="P172" s="1"/>
      <c r="Q172" s="1"/>
      <c r="R172" s="1"/>
      <c r="S172" s="1"/>
      <c r="T172" s="1"/>
      <c r="U172" s="1"/>
    </row>
    <row r="173" spans="1:21" x14ac:dyDescent="0.5">
      <c r="A173" s="1"/>
      <c r="B173" s="1"/>
      <c r="C173" s="1"/>
      <c r="D173" s="1"/>
      <c r="E173" s="1"/>
      <c r="F173" s="1"/>
      <c r="G173" s="1"/>
      <c r="H173" s="82"/>
      <c r="I173" s="1"/>
      <c r="J173" s="63"/>
      <c r="K173" s="1"/>
      <c r="L173" s="1"/>
      <c r="M173" s="1"/>
      <c r="N173" s="41"/>
      <c r="O173" s="1"/>
      <c r="P173" s="1"/>
      <c r="Q173" s="1"/>
      <c r="R173" s="1"/>
      <c r="S173" s="1"/>
      <c r="T173" s="1"/>
      <c r="U173" s="1"/>
    </row>
    <row r="174" spans="1:21" x14ac:dyDescent="0.5">
      <c r="A174" s="1"/>
      <c r="B174" s="1"/>
      <c r="C174" s="1"/>
      <c r="D174" s="1"/>
      <c r="E174" s="1"/>
      <c r="F174" s="1"/>
      <c r="G174" s="1"/>
      <c r="H174" s="82"/>
      <c r="I174" s="1"/>
      <c r="J174" s="63"/>
      <c r="K174" s="1"/>
      <c r="L174" s="1"/>
      <c r="M174" s="1"/>
      <c r="N174" s="41"/>
      <c r="O174" s="1"/>
      <c r="P174" s="1"/>
      <c r="Q174" s="1"/>
      <c r="R174" s="1"/>
      <c r="S174" s="1"/>
      <c r="T174" s="1"/>
      <c r="U174" s="1"/>
    </row>
    <row r="175" spans="1:21" x14ac:dyDescent="0.5">
      <c r="A175" s="1"/>
      <c r="B175" s="1"/>
      <c r="C175" s="1"/>
      <c r="D175" s="1"/>
      <c r="E175" s="1"/>
      <c r="F175" s="1"/>
      <c r="G175" s="1"/>
      <c r="H175" s="82"/>
      <c r="I175" s="1"/>
      <c r="J175" s="63"/>
      <c r="K175" s="1"/>
      <c r="L175" s="1"/>
      <c r="M175" s="1"/>
      <c r="N175" s="41"/>
      <c r="O175" s="1"/>
      <c r="P175" s="1"/>
      <c r="Q175" s="1"/>
      <c r="R175" s="1"/>
      <c r="S175" s="1"/>
      <c r="T175" s="1"/>
      <c r="U175" s="1"/>
    </row>
    <row r="176" spans="1:21" x14ac:dyDescent="0.5">
      <c r="A176" s="1"/>
      <c r="B176" s="1"/>
      <c r="C176" s="1"/>
      <c r="D176" s="1"/>
      <c r="E176" s="1"/>
      <c r="F176" s="1"/>
      <c r="G176" s="1"/>
      <c r="H176" s="82"/>
      <c r="I176" s="1"/>
      <c r="J176" s="63"/>
      <c r="K176" s="1"/>
      <c r="L176" s="1"/>
      <c r="M176" s="1"/>
      <c r="N176" s="41"/>
      <c r="O176" s="1"/>
      <c r="P176" s="1"/>
      <c r="Q176" s="1"/>
      <c r="R176" s="1"/>
      <c r="S176" s="1"/>
      <c r="T176" s="1"/>
      <c r="U176" s="1"/>
    </row>
    <row r="177" spans="1:21" x14ac:dyDescent="0.5">
      <c r="A177" s="1"/>
      <c r="B177" s="1"/>
      <c r="C177" s="1"/>
      <c r="D177" s="1"/>
      <c r="E177" s="1"/>
      <c r="F177" s="1"/>
      <c r="G177" s="1"/>
      <c r="H177" s="82"/>
      <c r="I177" s="1"/>
      <c r="J177" s="63"/>
      <c r="K177" s="1"/>
      <c r="L177" s="1"/>
      <c r="M177" s="1"/>
      <c r="N177" s="41"/>
      <c r="O177" s="1"/>
      <c r="P177" s="1"/>
      <c r="Q177" s="1"/>
      <c r="R177" s="1"/>
      <c r="S177" s="1"/>
      <c r="T177" s="1"/>
      <c r="U177" s="1"/>
    </row>
    <row r="178" spans="1:21" x14ac:dyDescent="0.5">
      <c r="A178" s="1"/>
      <c r="B178" s="1"/>
      <c r="C178" s="1"/>
      <c r="D178" s="1"/>
      <c r="E178" s="1"/>
      <c r="F178" s="1"/>
      <c r="G178" s="1"/>
      <c r="H178" s="82"/>
      <c r="I178" s="1"/>
      <c r="J178" s="63"/>
      <c r="K178" s="1"/>
      <c r="L178" s="1"/>
      <c r="M178" s="1"/>
      <c r="N178" s="41"/>
      <c r="O178" s="1"/>
      <c r="P178" s="1"/>
      <c r="Q178" s="1"/>
      <c r="R178" s="1"/>
      <c r="S178" s="1"/>
      <c r="T178" s="1"/>
      <c r="U178" s="1"/>
    </row>
    <row r="179" spans="1:21" x14ac:dyDescent="0.5">
      <c r="A179" s="1"/>
      <c r="B179" s="1"/>
      <c r="C179" s="1"/>
      <c r="D179" s="1"/>
      <c r="E179" s="1"/>
      <c r="F179" s="1"/>
      <c r="G179" s="1"/>
      <c r="H179" s="82"/>
      <c r="I179" s="1"/>
      <c r="J179" s="63"/>
      <c r="K179" s="1"/>
      <c r="L179" s="1"/>
      <c r="M179" s="1"/>
      <c r="N179" s="41"/>
      <c r="O179" s="1"/>
      <c r="P179" s="1"/>
      <c r="Q179" s="1"/>
      <c r="R179" s="1"/>
      <c r="S179" s="1"/>
      <c r="T179" s="1"/>
      <c r="U179" s="1"/>
    </row>
    <row r="180" spans="1:21" x14ac:dyDescent="0.5">
      <c r="A180" s="1"/>
      <c r="B180" s="1"/>
      <c r="C180" s="1"/>
      <c r="D180" s="1"/>
      <c r="E180" s="1"/>
      <c r="F180" s="1"/>
      <c r="G180" s="1"/>
      <c r="H180" s="82"/>
      <c r="I180" s="1"/>
      <c r="J180" s="63"/>
      <c r="K180" s="1"/>
      <c r="L180" s="1"/>
      <c r="M180" s="1"/>
      <c r="N180" s="41"/>
      <c r="O180" s="1"/>
      <c r="P180" s="1"/>
      <c r="Q180" s="1"/>
      <c r="R180" s="1"/>
      <c r="S180" s="1"/>
      <c r="T180" s="1"/>
      <c r="U180" s="1"/>
    </row>
    <row r="181" spans="1:21" x14ac:dyDescent="0.5">
      <c r="A181" s="1"/>
      <c r="B181" s="1"/>
      <c r="C181" s="1"/>
      <c r="D181" s="1"/>
      <c r="E181" s="1"/>
      <c r="F181" s="1"/>
      <c r="G181" s="1"/>
      <c r="H181" s="82"/>
      <c r="I181" s="1"/>
      <c r="J181" s="63"/>
      <c r="K181" s="1"/>
      <c r="L181" s="1"/>
      <c r="M181" s="1"/>
      <c r="N181" s="41"/>
      <c r="O181" s="1"/>
      <c r="P181" s="1"/>
      <c r="Q181" s="1"/>
      <c r="R181" s="1"/>
      <c r="S181" s="1"/>
      <c r="T181" s="1"/>
      <c r="U181" s="1"/>
    </row>
    <row r="182" spans="1:21" x14ac:dyDescent="0.5">
      <c r="A182" s="1"/>
      <c r="B182" s="1"/>
      <c r="C182" s="1"/>
      <c r="D182" s="1"/>
      <c r="E182" s="1"/>
      <c r="F182" s="1"/>
      <c r="G182" s="1"/>
      <c r="H182" s="82"/>
      <c r="I182" s="1"/>
      <c r="J182" s="63"/>
      <c r="K182" s="1"/>
      <c r="L182" s="1"/>
      <c r="M182" s="1"/>
      <c r="N182" s="41"/>
      <c r="O182" s="1"/>
      <c r="P182" s="1"/>
      <c r="Q182" s="1"/>
      <c r="R182" s="1"/>
      <c r="S182" s="1"/>
      <c r="T182" s="1"/>
      <c r="U182" s="1"/>
    </row>
    <row r="183" spans="1:21" x14ac:dyDescent="0.5">
      <c r="A183" s="1"/>
      <c r="B183" s="1"/>
      <c r="C183" s="1"/>
      <c r="D183" s="1"/>
      <c r="E183" s="1"/>
      <c r="F183" s="1"/>
      <c r="G183" s="1"/>
      <c r="H183" s="82"/>
      <c r="I183" s="1"/>
      <c r="J183" s="63"/>
      <c r="K183" s="1"/>
      <c r="L183" s="1"/>
      <c r="M183" s="1"/>
      <c r="N183" s="41"/>
      <c r="O183" s="1"/>
      <c r="P183" s="1"/>
      <c r="Q183" s="1"/>
      <c r="R183" s="1"/>
      <c r="S183" s="1"/>
      <c r="T183" s="1"/>
      <c r="U183" s="1"/>
    </row>
    <row r="184" spans="1:21" x14ac:dyDescent="0.5">
      <c r="A184" s="1"/>
      <c r="B184" s="1"/>
      <c r="C184" s="1"/>
      <c r="D184" s="1"/>
      <c r="E184" s="1"/>
      <c r="F184" s="1"/>
      <c r="G184" s="1"/>
      <c r="H184" s="82"/>
      <c r="I184" s="1"/>
      <c r="J184" s="63"/>
      <c r="K184" s="1"/>
      <c r="L184" s="1"/>
      <c r="M184" s="1"/>
      <c r="N184" s="41"/>
      <c r="O184" s="1"/>
      <c r="P184" s="1"/>
      <c r="Q184" s="1"/>
      <c r="R184" s="1"/>
      <c r="S184" s="1"/>
      <c r="T184" s="1"/>
      <c r="U184" s="1"/>
    </row>
    <row r="185" spans="1:21" x14ac:dyDescent="0.5">
      <c r="A185" s="1"/>
      <c r="B185" s="1"/>
      <c r="C185" s="1"/>
      <c r="D185" s="1"/>
      <c r="E185" s="1"/>
      <c r="F185" s="1"/>
      <c r="G185" s="1"/>
      <c r="H185" s="82"/>
      <c r="I185" s="1"/>
      <c r="J185" s="63"/>
      <c r="K185" s="1"/>
      <c r="L185" s="1"/>
      <c r="M185" s="1"/>
      <c r="N185" s="41"/>
      <c r="O185" s="1"/>
      <c r="P185" s="1"/>
      <c r="Q185" s="1"/>
      <c r="R185" s="1"/>
      <c r="S185" s="1"/>
      <c r="T185" s="1"/>
      <c r="U185" s="1"/>
    </row>
    <row r="186" spans="1:21" x14ac:dyDescent="0.5">
      <c r="A186" s="1"/>
      <c r="B186" s="1"/>
      <c r="C186" s="1"/>
      <c r="D186" s="1"/>
      <c r="E186" s="1"/>
      <c r="F186" s="1"/>
      <c r="G186" s="1"/>
      <c r="H186" s="82"/>
      <c r="I186" s="1"/>
      <c r="J186" s="63"/>
      <c r="K186" s="1"/>
      <c r="L186" s="1"/>
      <c r="M186" s="1"/>
      <c r="N186" s="41"/>
      <c r="O186" s="1"/>
      <c r="P186" s="1"/>
      <c r="Q186" s="1"/>
      <c r="R186" s="1"/>
      <c r="S186" s="1"/>
      <c r="T186" s="1"/>
      <c r="U186" s="1"/>
    </row>
    <row r="187" spans="1:21" x14ac:dyDescent="0.5">
      <c r="A187" s="1"/>
      <c r="B187" s="1"/>
      <c r="C187" s="1"/>
      <c r="D187" s="1"/>
      <c r="E187" s="1"/>
      <c r="F187" s="1"/>
      <c r="G187" s="1"/>
      <c r="H187" s="82"/>
      <c r="I187" s="1"/>
      <c r="J187" s="63"/>
      <c r="K187" s="1"/>
      <c r="L187" s="1"/>
      <c r="M187" s="1"/>
      <c r="N187" s="41"/>
      <c r="O187" s="1"/>
      <c r="P187" s="1"/>
      <c r="Q187" s="1"/>
      <c r="R187" s="1"/>
      <c r="S187" s="1"/>
      <c r="T187" s="1"/>
      <c r="U187" s="1"/>
    </row>
    <row r="188" spans="1:21" x14ac:dyDescent="0.5">
      <c r="A188" s="1"/>
      <c r="B188" s="1"/>
      <c r="C188" s="1"/>
      <c r="D188" s="1"/>
      <c r="E188" s="1"/>
      <c r="F188" s="1"/>
      <c r="G188" s="1"/>
      <c r="H188" s="82"/>
      <c r="I188" s="1"/>
      <c r="J188" s="63"/>
      <c r="K188" s="1"/>
      <c r="L188" s="1"/>
      <c r="M188" s="1"/>
      <c r="N188" s="41"/>
      <c r="O188" s="1"/>
      <c r="P188" s="1"/>
      <c r="Q188" s="1"/>
      <c r="R188" s="1"/>
      <c r="S188" s="1"/>
      <c r="T188" s="1"/>
      <c r="U188" s="1"/>
    </row>
    <row r="189" spans="1:21" x14ac:dyDescent="0.5">
      <c r="A189" s="1"/>
      <c r="B189" s="1"/>
      <c r="C189" s="1"/>
      <c r="D189" s="1"/>
      <c r="E189" s="1"/>
      <c r="F189" s="1"/>
      <c r="G189" s="1"/>
      <c r="H189" s="82"/>
      <c r="I189" s="1"/>
      <c r="J189" s="63"/>
      <c r="K189" s="1"/>
      <c r="L189" s="1"/>
      <c r="M189" s="1"/>
      <c r="N189" s="41"/>
      <c r="O189" s="1"/>
      <c r="P189" s="1"/>
      <c r="Q189" s="1"/>
      <c r="R189" s="1"/>
      <c r="S189" s="1"/>
      <c r="T189" s="1"/>
      <c r="U189" s="1"/>
    </row>
    <row r="190" spans="1:21" x14ac:dyDescent="0.5">
      <c r="A190" s="1"/>
      <c r="B190" s="1"/>
      <c r="C190" s="1"/>
      <c r="D190" s="1"/>
      <c r="E190" s="1"/>
      <c r="F190" s="1"/>
      <c r="G190" s="1"/>
      <c r="H190" s="82"/>
      <c r="I190" s="1"/>
      <c r="J190" s="63"/>
      <c r="K190" s="1"/>
      <c r="L190" s="1"/>
      <c r="M190" s="1"/>
      <c r="N190" s="41"/>
      <c r="O190" s="1"/>
      <c r="P190" s="1"/>
      <c r="Q190" s="1"/>
      <c r="R190" s="1"/>
      <c r="S190" s="1"/>
      <c r="T190" s="1"/>
      <c r="U190" s="1"/>
    </row>
    <row r="191" spans="1:21" x14ac:dyDescent="0.5">
      <c r="A191" s="1"/>
      <c r="B191" s="1"/>
      <c r="C191" s="1"/>
      <c r="D191" s="1"/>
      <c r="E191" s="1"/>
      <c r="F191" s="1"/>
      <c r="G191" s="1"/>
      <c r="H191" s="82"/>
      <c r="I191" s="1"/>
      <c r="J191" s="63"/>
      <c r="K191" s="1"/>
      <c r="L191" s="1"/>
      <c r="M191" s="1"/>
      <c r="N191" s="41"/>
      <c r="O191" s="1"/>
      <c r="P191" s="1"/>
      <c r="Q191" s="1"/>
      <c r="R191" s="1"/>
      <c r="S191" s="1"/>
      <c r="T191" s="1"/>
      <c r="U191" s="1"/>
    </row>
    <row r="192" spans="1:21" x14ac:dyDescent="0.5">
      <c r="A192" s="1"/>
      <c r="B192" s="1"/>
      <c r="C192" s="1"/>
      <c r="D192" s="1"/>
      <c r="E192" s="1"/>
      <c r="F192" s="1"/>
      <c r="G192" s="1"/>
      <c r="H192" s="82"/>
      <c r="I192" s="1"/>
      <c r="J192" s="63"/>
      <c r="K192" s="1"/>
      <c r="L192" s="1"/>
      <c r="M192" s="1"/>
      <c r="N192" s="41"/>
      <c r="O192" s="1"/>
      <c r="P192" s="1"/>
      <c r="Q192" s="1"/>
      <c r="R192" s="1"/>
      <c r="S192" s="1"/>
      <c r="T192" s="1"/>
      <c r="U192" s="1"/>
    </row>
    <row r="193" spans="1:21" x14ac:dyDescent="0.5">
      <c r="A193" s="1"/>
      <c r="B193" s="1"/>
      <c r="C193" s="1"/>
      <c r="D193" s="1"/>
      <c r="E193" s="1"/>
      <c r="F193" s="1"/>
      <c r="G193" s="1"/>
      <c r="H193" s="82"/>
      <c r="I193" s="1"/>
      <c r="J193" s="63"/>
      <c r="K193" s="1"/>
      <c r="L193" s="1"/>
      <c r="M193" s="1"/>
      <c r="N193" s="41"/>
      <c r="O193" s="1"/>
      <c r="P193" s="1"/>
      <c r="Q193" s="1"/>
      <c r="R193" s="1"/>
      <c r="S193" s="1"/>
      <c r="T193" s="1"/>
      <c r="U193" s="1"/>
    </row>
    <row r="194" spans="1:21" x14ac:dyDescent="0.5">
      <c r="A194" s="1"/>
      <c r="B194" s="1"/>
      <c r="C194" s="1"/>
      <c r="D194" s="1"/>
      <c r="E194" s="1"/>
      <c r="F194" s="1"/>
      <c r="G194" s="1"/>
      <c r="H194" s="82"/>
      <c r="I194" s="1"/>
      <c r="J194" s="63"/>
      <c r="K194" s="1"/>
      <c r="L194" s="1"/>
      <c r="M194" s="1"/>
      <c r="N194" s="41"/>
      <c r="O194" s="1"/>
      <c r="P194" s="1"/>
      <c r="Q194" s="1"/>
      <c r="R194" s="1"/>
      <c r="S194" s="1"/>
      <c r="T194" s="1"/>
      <c r="U194" s="1"/>
    </row>
    <row r="195" spans="1:21" x14ac:dyDescent="0.5">
      <c r="A195" s="1"/>
      <c r="B195" s="1"/>
      <c r="C195" s="1"/>
      <c r="D195" s="1"/>
      <c r="E195" s="1"/>
      <c r="F195" s="1"/>
      <c r="G195" s="1"/>
      <c r="H195" s="82"/>
      <c r="I195" s="1"/>
      <c r="J195" s="63"/>
      <c r="K195" s="1"/>
      <c r="L195" s="1"/>
      <c r="M195" s="1"/>
      <c r="N195" s="41"/>
      <c r="O195" s="1"/>
      <c r="P195" s="1"/>
      <c r="Q195" s="1"/>
      <c r="R195" s="1"/>
      <c r="S195" s="1"/>
      <c r="T195" s="1"/>
      <c r="U195" s="1"/>
    </row>
    <row r="196" spans="1:21" x14ac:dyDescent="0.5">
      <c r="A196" s="1"/>
      <c r="B196" s="1"/>
      <c r="C196" s="1"/>
      <c r="D196" s="1"/>
      <c r="E196" s="1"/>
      <c r="F196" s="1"/>
      <c r="G196" s="1"/>
      <c r="H196" s="82"/>
      <c r="I196" s="1"/>
      <c r="J196" s="63"/>
      <c r="K196" s="1"/>
      <c r="L196" s="1"/>
      <c r="M196" s="1"/>
      <c r="N196" s="41"/>
      <c r="O196" s="1"/>
      <c r="P196" s="1"/>
      <c r="Q196" s="1"/>
      <c r="R196" s="1"/>
      <c r="S196" s="1"/>
      <c r="T196" s="1"/>
      <c r="U196" s="1"/>
    </row>
    <row r="197" spans="1:21" x14ac:dyDescent="0.5">
      <c r="A197" s="1"/>
      <c r="B197" s="1"/>
      <c r="C197" s="1"/>
      <c r="D197" s="1"/>
      <c r="E197" s="1"/>
      <c r="F197" s="1"/>
      <c r="G197" s="1"/>
      <c r="H197" s="82"/>
      <c r="I197" s="1"/>
      <c r="J197" s="63"/>
      <c r="K197" s="1"/>
      <c r="L197" s="1"/>
      <c r="M197" s="1"/>
      <c r="N197" s="41"/>
      <c r="O197" s="1"/>
      <c r="P197" s="1"/>
      <c r="Q197" s="1"/>
      <c r="R197" s="1"/>
      <c r="S197" s="1"/>
      <c r="T197" s="1"/>
      <c r="U197" s="1"/>
    </row>
    <row r="198" spans="1:21" x14ac:dyDescent="0.5">
      <c r="A198" s="1"/>
      <c r="B198" s="1"/>
      <c r="C198" s="1"/>
      <c r="D198" s="1"/>
      <c r="E198" s="1"/>
      <c r="F198" s="1"/>
      <c r="G198" s="1"/>
      <c r="H198" s="82"/>
      <c r="I198" s="1"/>
      <c r="J198" s="63"/>
      <c r="K198" s="1"/>
      <c r="L198" s="1"/>
      <c r="M198" s="1"/>
      <c r="N198" s="41"/>
      <c r="O198" s="1"/>
      <c r="P198" s="1"/>
      <c r="Q198" s="1"/>
      <c r="R198" s="1"/>
      <c r="S198" s="1"/>
      <c r="T198" s="1"/>
      <c r="U198" s="1"/>
    </row>
    <row r="199" spans="1:21" x14ac:dyDescent="0.5">
      <c r="A199" s="1"/>
      <c r="B199" s="1"/>
      <c r="C199" s="1"/>
      <c r="D199" s="1"/>
      <c r="E199" s="1"/>
      <c r="F199" s="1"/>
      <c r="G199" s="1"/>
      <c r="H199" s="82"/>
      <c r="I199" s="1"/>
      <c r="J199" s="63"/>
      <c r="K199" s="1"/>
      <c r="L199" s="1"/>
      <c r="M199" s="1"/>
      <c r="N199" s="41"/>
      <c r="O199" s="1"/>
      <c r="P199" s="1"/>
      <c r="Q199" s="1"/>
      <c r="R199" s="1"/>
      <c r="S199" s="1"/>
      <c r="T199" s="1"/>
      <c r="U199" s="1"/>
    </row>
    <row r="200" spans="1:21" x14ac:dyDescent="0.5">
      <c r="A200" s="1"/>
      <c r="B200" s="1"/>
      <c r="C200" s="1"/>
      <c r="D200" s="1"/>
      <c r="E200" s="1"/>
      <c r="F200" s="1"/>
      <c r="G200" s="1"/>
      <c r="H200" s="82"/>
      <c r="I200" s="1"/>
      <c r="J200" s="63"/>
      <c r="K200" s="1"/>
      <c r="L200" s="1"/>
      <c r="M200" s="1"/>
      <c r="N200" s="41"/>
      <c r="O200" s="1"/>
      <c r="P200" s="1"/>
      <c r="Q200" s="1"/>
      <c r="R200" s="1"/>
      <c r="S200" s="1"/>
      <c r="T200" s="1"/>
      <c r="U200" s="1"/>
    </row>
    <row r="201" spans="1:21" x14ac:dyDescent="0.5">
      <c r="A201" s="1"/>
      <c r="B201" s="1"/>
      <c r="C201" s="1"/>
      <c r="D201" s="1"/>
      <c r="E201" s="1"/>
      <c r="F201" s="1"/>
      <c r="G201" s="1"/>
      <c r="H201" s="82"/>
      <c r="I201" s="1"/>
      <c r="J201" s="63"/>
      <c r="K201" s="1"/>
      <c r="L201" s="1"/>
      <c r="M201" s="1"/>
      <c r="N201" s="41"/>
      <c r="O201" s="1"/>
      <c r="P201" s="1"/>
      <c r="Q201" s="1"/>
      <c r="R201" s="1"/>
      <c r="S201" s="1"/>
      <c r="T201" s="1"/>
      <c r="U201" s="1"/>
    </row>
    <row r="202" spans="1:21" x14ac:dyDescent="0.5">
      <c r="A202" s="1"/>
      <c r="B202" s="1"/>
      <c r="C202" s="1"/>
      <c r="D202" s="1"/>
      <c r="E202" s="1"/>
      <c r="F202" s="1"/>
      <c r="G202" s="1"/>
      <c r="H202" s="82"/>
      <c r="I202" s="1"/>
      <c r="J202" s="63"/>
      <c r="K202" s="1"/>
      <c r="L202" s="1"/>
      <c r="M202" s="1"/>
      <c r="N202" s="41"/>
      <c r="O202" s="1"/>
      <c r="P202" s="1"/>
      <c r="Q202" s="1"/>
      <c r="R202" s="1"/>
      <c r="S202" s="1"/>
      <c r="T202" s="1"/>
      <c r="U202" s="1"/>
    </row>
    <row r="203" spans="1:21" x14ac:dyDescent="0.5">
      <c r="A203" s="1"/>
      <c r="B203" s="1"/>
      <c r="C203" s="1"/>
      <c r="D203" s="1"/>
      <c r="E203" s="1"/>
      <c r="F203" s="1"/>
      <c r="G203" s="1"/>
      <c r="H203" s="82"/>
      <c r="I203" s="1"/>
      <c r="J203" s="63"/>
      <c r="K203" s="1"/>
      <c r="L203" s="1"/>
      <c r="M203" s="1"/>
      <c r="N203" s="41"/>
      <c r="O203" s="1"/>
      <c r="P203" s="1"/>
      <c r="Q203" s="1"/>
      <c r="R203" s="1"/>
      <c r="S203" s="1"/>
      <c r="T203" s="1"/>
      <c r="U203" s="1"/>
    </row>
    <row r="204" spans="1:21" x14ac:dyDescent="0.5">
      <c r="A204" s="1"/>
      <c r="B204" s="1"/>
      <c r="C204" s="1"/>
      <c r="D204" s="1"/>
      <c r="E204" s="1"/>
      <c r="F204" s="1"/>
      <c r="G204" s="1"/>
      <c r="H204" s="82"/>
      <c r="I204" s="1"/>
      <c r="J204" s="63"/>
      <c r="K204" s="1"/>
      <c r="L204" s="1"/>
      <c r="M204" s="1"/>
      <c r="N204" s="41"/>
      <c r="O204" s="1"/>
      <c r="P204" s="1"/>
      <c r="Q204" s="1"/>
      <c r="R204" s="1"/>
      <c r="S204" s="1"/>
      <c r="T204" s="1"/>
      <c r="U204" s="1"/>
    </row>
    <row r="205" spans="1:21" x14ac:dyDescent="0.5">
      <c r="A205" s="1"/>
      <c r="B205" s="1"/>
      <c r="C205" s="1"/>
      <c r="D205" s="1"/>
      <c r="E205" s="1"/>
      <c r="F205" s="1"/>
      <c r="G205" s="1"/>
      <c r="H205" s="82"/>
      <c r="I205" s="1"/>
      <c r="J205" s="63"/>
      <c r="K205" s="1"/>
      <c r="L205" s="1"/>
      <c r="M205" s="1"/>
      <c r="N205" s="41"/>
      <c r="O205" s="1"/>
      <c r="P205" s="1"/>
      <c r="Q205" s="1"/>
      <c r="R205" s="1"/>
      <c r="S205" s="1"/>
      <c r="T205" s="1"/>
      <c r="U205" s="1"/>
    </row>
    <row r="206" spans="1:21" x14ac:dyDescent="0.5">
      <c r="A206" s="1"/>
      <c r="B206" s="1"/>
      <c r="C206" s="1"/>
      <c r="D206" s="1"/>
      <c r="E206" s="1"/>
      <c r="F206" s="1"/>
      <c r="G206" s="1"/>
      <c r="H206" s="82"/>
      <c r="I206" s="1"/>
      <c r="J206" s="63"/>
      <c r="K206" s="1"/>
      <c r="L206" s="1"/>
      <c r="M206" s="1"/>
      <c r="N206" s="41"/>
      <c r="O206" s="1"/>
      <c r="P206" s="1"/>
      <c r="Q206" s="1"/>
      <c r="R206" s="1"/>
      <c r="S206" s="1"/>
      <c r="T206" s="1"/>
      <c r="U206" s="1"/>
    </row>
    <row r="207" spans="1:21" x14ac:dyDescent="0.5">
      <c r="A207" s="1"/>
      <c r="B207" s="1"/>
      <c r="C207" s="1"/>
      <c r="D207" s="1"/>
      <c r="E207" s="1"/>
      <c r="F207" s="1"/>
      <c r="G207" s="1"/>
      <c r="H207" s="82"/>
      <c r="I207" s="1"/>
      <c r="J207" s="63"/>
      <c r="K207" s="1"/>
      <c r="L207" s="1"/>
      <c r="M207" s="1"/>
      <c r="N207" s="41"/>
      <c r="O207" s="1"/>
      <c r="P207" s="1"/>
      <c r="Q207" s="1"/>
      <c r="R207" s="1"/>
      <c r="S207" s="1"/>
      <c r="T207" s="1"/>
      <c r="U207" s="1"/>
    </row>
    <row r="208" spans="1:21" x14ac:dyDescent="0.5">
      <c r="A208" s="1"/>
      <c r="B208" s="1"/>
      <c r="C208" s="1"/>
      <c r="D208" s="1"/>
      <c r="E208" s="1"/>
      <c r="F208" s="1"/>
      <c r="G208" s="1"/>
      <c r="H208" s="82"/>
      <c r="I208" s="1"/>
      <c r="J208" s="63"/>
      <c r="K208" s="1"/>
      <c r="L208" s="1"/>
      <c r="M208" s="1"/>
      <c r="N208" s="41"/>
      <c r="O208" s="1"/>
      <c r="P208" s="1"/>
      <c r="Q208" s="1"/>
      <c r="R208" s="1"/>
      <c r="S208" s="1"/>
      <c r="T208" s="1"/>
      <c r="U208" s="1"/>
    </row>
    <row r="209" spans="1:21" x14ac:dyDescent="0.5">
      <c r="A209" s="1"/>
      <c r="B209" s="1"/>
      <c r="C209" s="1"/>
      <c r="D209" s="1"/>
      <c r="E209" s="1"/>
      <c r="F209" s="1"/>
      <c r="G209" s="1"/>
      <c r="H209" s="82"/>
      <c r="I209" s="1"/>
      <c r="J209" s="63"/>
      <c r="K209" s="1"/>
      <c r="L209" s="1"/>
      <c r="M209" s="1"/>
      <c r="N209" s="41"/>
      <c r="O209" s="1"/>
      <c r="P209" s="1"/>
      <c r="Q209" s="1"/>
      <c r="R209" s="1"/>
      <c r="S209" s="1"/>
      <c r="T209" s="1"/>
      <c r="U209" s="1"/>
    </row>
    <row r="210" spans="1:21" x14ac:dyDescent="0.5">
      <c r="A210" s="1"/>
      <c r="B210" s="1"/>
      <c r="C210" s="1"/>
      <c r="D210" s="1"/>
      <c r="E210" s="1"/>
      <c r="F210" s="1"/>
      <c r="G210" s="1"/>
      <c r="H210" s="82"/>
      <c r="I210" s="1"/>
      <c r="J210" s="63"/>
      <c r="K210" s="1"/>
      <c r="L210" s="1"/>
      <c r="M210" s="1"/>
      <c r="N210" s="41"/>
      <c r="O210" s="1"/>
      <c r="P210" s="1"/>
      <c r="Q210" s="1"/>
      <c r="R210" s="1"/>
      <c r="S210" s="1"/>
      <c r="T210" s="1"/>
      <c r="U210" s="1"/>
    </row>
    <row r="211" spans="1:21" x14ac:dyDescent="0.5">
      <c r="A211" s="1"/>
      <c r="B211" s="1"/>
      <c r="C211" s="1"/>
      <c r="D211" s="1"/>
      <c r="E211" s="1"/>
      <c r="F211" s="1"/>
      <c r="G211" s="1"/>
      <c r="H211" s="82"/>
      <c r="I211" s="1"/>
      <c r="J211" s="63"/>
      <c r="K211" s="1"/>
      <c r="L211" s="1"/>
      <c r="M211" s="1"/>
      <c r="N211" s="41"/>
      <c r="O211" s="1"/>
      <c r="P211" s="1"/>
      <c r="Q211" s="1"/>
      <c r="R211" s="1"/>
      <c r="S211" s="1"/>
      <c r="T211" s="1"/>
      <c r="U211" s="1"/>
    </row>
    <row r="212" spans="1:21" x14ac:dyDescent="0.5">
      <c r="A212" s="1"/>
      <c r="B212" s="1"/>
      <c r="C212" s="1"/>
      <c r="D212" s="1"/>
      <c r="E212" s="1"/>
      <c r="F212" s="1"/>
      <c r="G212" s="1"/>
      <c r="H212" s="82"/>
      <c r="I212" s="1"/>
      <c r="J212" s="63"/>
      <c r="K212" s="1"/>
      <c r="L212" s="1"/>
      <c r="M212" s="1"/>
      <c r="N212" s="41"/>
      <c r="O212" s="1"/>
      <c r="P212" s="1"/>
      <c r="Q212" s="1"/>
      <c r="R212" s="1"/>
      <c r="S212" s="1"/>
      <c r="T212" s="1"/>
      <c r="U212" s="1"/>
    </row>
    <row r="213" spans="1:21" x14ac:dyDescent="0.5">
      <c r="A213" s="1"/>
      <c r="B213" s="1"/>
      <c r="C213" s="1"/>
      <c r="D213" s="1"/>
      <c r="E213" s="1"/>
      <c r="F213" s="1"/>
      <c r="G213" s="1"/>
      <c r="H213" s="82"/>
      <c r="I213" s="1"/>
      <c r="J213" s="63"/>
      <c r="K213" s="1"/>
      <c r="L213" s="1"/>
      <c r="M213" s="1"/>
      <c r="N213" s="41"/>
      <c r="O213" s="1"/>
      <c r="P213" s="1"/>
      <c r="Q213" s="1"/>
      <c r="R213" s="1"/>
      <c r="S213" s="1"/>
      <c r="T213" s="1"/>
      <c r="U213" s="1"/>
    </row>
    <row r="214" spans="1:21" x14ac:dyDescent="0.5">
      <c r="A214" s="1"/>
      <c r="B214" s="1"/>
      <c r="C214" s="1"/>
      <c r="D214" s="1"/>
      <c r="E214" s="1"/>
      <c r="F214" s="1"/>
      <c r="G214" s="1"/>
      <c r="H214" s="82"/>
      <c r="I214" s="1"/>
      <c r="J214" s="63"/>
      <c r="K214" s="1"/>
      <c r="L214" s="1"/>
      <c r="M214" s="1"/>
      <c r="N214" s="41"/>
      <c r="O214" s="1"/>
      <c r="P214" s="1"/>
      <c r="Q214" s="1"/>
      <c r="R214" s="1"/>
      <c r="S214" s="1"/>
      <c r="T214" s="1"/>
      <c r="U214" s="1"/>
    </row>
    <row r="215" spans="1:21" x14ac:dyDescent="0.5">
      <c r="A215" s="1"/>
      <c r="B215" s="1"/>
      <c r="C215" s="1"/>
      <c r="D215" s="1"/>
      <c r="E215" s="1"/>
      <c r="F215" s="1"/>
      <c r="G215" s="1"/>
      <c r="H215" s="82"/>
      <c r="I215" s="1"/>
      <c r="J215" s="63"/>
      <c r="K215" s="1"/>
      <c r="L215" s="1"/>
      <c r="M215" s="1"/>
      <c r="N215" s="41"/>
      <c r="O215" s="1"/>
      <c r="P215" s="1"/>
      <c r="Q215" s="1"/>
      <c r="R215" s="1"/>
      <c r="S215" s="1"/>
      <c r="T215" s="1"/>
      <c r="U215" s="1"/>
    </row>
    <row r="216" spans="1:21" x14ac:dyDescent="0.5">
      <c r="A216" s="1"/>
      <c r="B216" s="1"/>
      <c r="C216" s="1"/>
      <c r="D216" s="1"/>
      <c r="E216" s="1"/>
      <c r="F216" s="1"/>
      <c r="G216" s="1"/>
      <c r="H216" s="82"/>
      <c r="I216" s="1"/>
      <c r="J216" s="63"/>
      <c r="K216" s="1"/>
      <c r="L216" s="1"/>
      <c r="M216" s="1"/>
      <c r="N216" s="41"/>
      <c r="O216" s="1"/>
      <c r="P216" s="1"/>
      <c r="Q216" s="1"/>
      <c r="R216" s="1"/>
      <c r="S216" s="1"/>
      <c r="T216" s="1"/>
      <c r="U216" s="1"/>
    </row>
    <row r="217" spans="1:21" x14ac:dyDescent="0.5">
      <c r="A217" s="1"/>
      <c r="B217" s="1"/>
      <c r="C217" s="1"/>
      <c r="D217" s="1"/>
      <c r="E217" s="1"/>
      <c r="F217" s="1"/>
      <c r="G217" s="1"/>
      <c r="H217" s="82"/>
      <c r="I217" s="1"/>
      <c r="J217" s="63"/>
      <c r="K217" s="1"/>
      <c r="L217" s="1"/>
      <c r="M217" s="1"/>
      <c r="N217" s="41"/>
      <c r="O217" s="1"/>
      <c r="P217" s="1"/>
      <c r="Q217" s="1"/>
      <c r="R217" s="1"/>
      <c r="S217" s="1"/>
      <c r="T217" s="1"/>
      <c r="U217" s="1"/>
    </row>
    <row r="218" spans="1:21" x14ac:dyDescent="0.5">
      <c r="A218" s="1"/>
      <c r="B218" s="1"/>
      <c r="C218" s="1"/>
      <c r="D218" s="1"/>
      <c r="E218" s="1"/>
      <c r="F218" s="1"/>
      <c r="G218" s="1"/>
      <c r="H218" s="82"/>
      <c r="I218" s="1"/>
      <c r="J218" s="63"/>
      <c r="K218" s="1"/>
      <c r="L218" s="1"/>
      <c r="M218" s="1"/>
      <c r="N218" s="41"/>
      <c r="O218" s="1"/>
      <c r="P218" s="1"/>
      <c r="Q218" s="1"/>
      <c r="R218" s="1"/>
      <c r="S218" s="1"/>
      <c r="T218" s="1"/>
      <c r="U218" s="1"/>
    </row>
    <row r="219" spans="1:21" x14ac:dyDescent="0.5">
      <c r="A219" s="1"/>
      <c r="B219" s="1"/>
      <c r="C219" s="1"/>
      <c r="D219" s="1"/>
      <c r="E219" s="1"/>
      <c r="F219" s="1"/>
      <c r="G219" s="1"/>
      <c r="H219" s="82"/>
      <c r="I219" s="1"/>
      <c r="J219" s="63"/>
      <c r="K219" s="1"/>
      <c r="L219" s="1"/>
      <c r="M219" s="1"/>
      <c r="N219" s="41"/>
      <c r="O219" s="1"/>
      <c r="P219" s="1"/>
      <c r="Q219" s="1"/>
      <c r="R219" s="1"/>
      <c r="S219" s="1"/>
      <c r="T219" s="1"/>
      <c r="U219" s="1"/>
    </row>
    <row r="220" spans="1:21" x14ac:dyDescent="0.5">
      <c r="A220" s="1"/>
      <c r="B220" s="1"/>
      <c r="C220" s="1"/>
      <c r="D220" s="1"/>
      <c r="E220" s="1"/>
      <c r="F220" s="1"/>
      <c r="G220" s="1"/>
      <c r="H220" s="82"/>
      <c r="I220" s="1"/>
      <c r="J220" s="63"/>
      <c r="K220" s="1"/>
      <c r="L220" s="1"/>
      <c r="M220" s="1"/>
      <c r="N220" s="41"/>
      <c r="O220" s="1"/>
      <c r="P220" s="1"/>
      <c r="Q220" s="1"/>
      <c r="R220" s="1"/>
      <c r="S220" s="1"/>
      <c r="T220" s="1"/>
      <c r="U220" s="1"/>
    </row>
    <row r="221" spans="1:21" x14ac:dyDescent="0.5">
      <c r="A221" s="1"/>
      <c r="B221" s="1"/>
      <c r="C221" s="1"/>
      <c r="D221" s="1"/>
      <c r="E221" s="1"/>
      <c r="F221" s="1"/>
      <c r="G221" s="1"/>
      <c r="H221" s="82"/>
      <c r="I221" s="1"/>
      <c r="J221" s="63"/>
      <c r="K221" s="1"/>
      <c r="L221" s="1"/>
      <c r="M221" s="1"/>
      <c r="N221" s="41"/>
      <c r="O221" s="1"/>
      <c r="P221" s="1"/>
      <c r="Q221" s="1"/>
      <c r="R221" s="1"/>
      <c r="S221" s="1"/>
      <c r="T221" s="1"/>
      <c r="U221" s="1"/>
    </row>
    <row r="222" spans="1:21" x14ac:dyDescent="0.5">
      <c r="A222" s="1"/>
      <c r="B222" s="1"/>
      <c r="C222" s="1"/>
      <c r="D222" s="1"/>
      <c r="E222" s="1"/>
      <c r="F222" s="1"/>
      <c r="G222" s="1"/>
      <c r="H222" s="82"/>
      <c r="I222" s="1"/>
      <c r="J222" s="63"/>
      <c r="K222" s="1"/>
      <c r="L222" s="1"/>
      <c r="M222" s="1"/>
      <c r="N222" s="41"/>
      <c r="O222" s="1"/>
      <c r="P222" s="1"/>
      <c r="Q222" s="1"/>
      <c r="R222" s="1"/>
      <c r="S222" s="1"/>
      <c r="T222" s="1"/>
      <c r="U222" s="1"/>
    </row>
    <row r="223" spans="1:21" x14ac:dyDescent="0.5">
      <c r="A223" s="1"/>
      <c r="B223" s="1"/>
      <c r="C223" s="1"/>
      <c r="D223" s="1"/>
      <c r="E223" s="1"/>
      <c r="F223" s="1"/>
      <c r="G223" s="1"/>
      <c r="H223" s="82"/>
      <c r="I223" s="1"/>
      <c r="J223" s="63"/>
      <c r="K223" s="1"/>
      <c r="L223" s="1"/>
      <c r="M223" s="1"/>
      <c r="N223" s="41"/>
      <c r="O223" s="1"/>
      <c r="P223" s="1"/>
      <c r="Q223" s="1"/>
      <c r="R223" s="1"/>
      <c r="S223" s="1"/>
      <c r="T223" s="1"/>
      <c r="U223" s="1"/>
    </row>
    <row r="224" spans="1:21" x14ac:dyDescent="0.5">
      <c r="A224" s="1"/>
      <c r="B224" s="1"/>
      <c r="C224" s="1"/>
      <c r="D224" s="1"/>
      <c r="E224" s="1"/>
      <c r="F224" s="1"/>
      <c r="G224" s="1"/>
      <c r="H224" s="82"/>
      <c r="I224" s="1"/>
      <c r="J224" s="63"/>
      <c r="K224" s="1"/>
      <c r="L224" s="1"/>
      <c r="M224" s="1"/>
      <c r="N224" s="41"/>
      <c r="O224" s="1"/>
      <c r="P224" s="1"/>
      <c r="Q224" s="1"/>
      <c r="R224" s="1"/>
      <c r="S224" s="1"/>
      <c r="T224" s="1"/>
      <c r="U224" s="1"/>
    </row>
    <row r="225" spans="1:21" x14ac:dyDescent="0.5">
      <c r="A225" s="1"/>
      <c r="B225" s="1"/>
      <c r="C225" s="1"/>
      <c r="D225" s="1"/>
      <c r="E225" s="1"/>
      <c r="F225" s="1"/>
      <c r="G225" s="1"/>
      <c r="H225" s="82"/>
      <c r="I225" s="1"/>
      <c r="J225" s="63"/>
      <c r="K225" s="1"/>
      <c r="L225" s="1"/>
      <c r="M225" s="1"/>
      <c r="N225" s="41"/>
      <c r="O225" s="1"/>
      <c r="P225" s="1"/>
      <c r="Q225" s="1"/>
      <c r="R225" s="1"/>
      <c r="S225" s="1"/>
      <c r="T225" s="1"/>
      <c r="U225" s="1"/>
    </row>
    <row r="226" spans="1:21" x14ac:dyDescent="0.5">
      <c r="A226" s="1"/>
      <c r="B226" s="1"/>
      <c r="C226" s="1"/>
      <c r="D226" s="1"/>
      <c r="E226" s="1"/>
      <c r="F226" s="1"/>
      <c r="G226" s="1"/>
      <c r="H226" s="82"/>
      <c r="I226" s="1"/>
      <c r="J226" s="63"/>
      <c r="K226" s="1"/>
      <c r="L226" s="1"/>
      <c r="M226" s="1"/>
      <c r="N226" s="41"/>
      <c r="O226" s="1"/>
      <c r="P226" s="1"/>
      <c r="Q226" s="1"/>
      <c r="R226" s="1"/>
      <c r="S226" s="1"/>
      <c r="T226" s="1"/>
      <c r="U226" s="1"/>
    </row>
    <row r="227" spans="1:21" x14ac:dyDescent="0.5">
      <c r="A227" s="1"/>
      <c r="B227" s="1"/>
      <c r="C227" s="1"/>
      <c r="D227" s="1"/>
      <c r="E227" s="1"/>
      <c r="F227" s="1"/>
      <c r="G227" s="1"/>
      <c r="H227" s="82"/>
      <c r="I227" s="1"/>
      <c r="J227" s="63"/>
      <c r="K227" s="1"/>
      <c r="L227" s="1"/>
      <c r="M227" s="1"/>
      <c r="N227" s="41"/>
      <c r="O227" s="1"/>
      <c r="P227" s="1"/>
      <c r="Q227" s="1"/>
      <c r="R227" s="1"/>
      <c r="S227" s="1"/>
      <c r="T227" s="1"/>
      <c r="U227" s="1"/>
    </row>
    <row r="228" spans="1:21" x14ac:dyDescent="0.5">
      <c r="A228" s="1"/>
      <c r="B228" s="1"/>
      <c r="C228" s="1"/>
      <c r="D228" s="1"/>
      <c r="E228" s="1"/>
      <c r="F228" s="1"/>
      <c r="G228" s="1"/>
      <c r="H228" s="82"/>
      <c r="I228" s="1"/>
      <c r="J228" s="63"/>
      <c r="K228" s="1"/>
      <c r="L228" s="1"/>
      <c r="M228" s="1"/>
      <c r="N228" s="41"/>
      <c r="O228" s="1"/>
      <c r="P228" s="1"/>
      <c r="Q228" s="1"/>
      <c r="R228" s="1"/>
      <c r="S228" s="1"/>
      <c r="T228" s="1"/>
      <c r="U228" s="1"/>
    </row>
    <row r="229" spans="1:21" x14ac:dyDescent="0.5">
      <c r="A229" s="1"/>
      <c r="B229" s="1"/>
      <c r="C229" s="1"/>
      <c r="D229" s="1"/>
      <c r="E229" s="1"/>
      <c r="F229" s="1"/>
      <c r="G229" s="1"/>
      <c r="H229" s="82"/>
      <c r="I229" s="1"/>
      <c r="J229" s="63"/>
      <c r="K229" s="1"/>
      <c r="L229" s="1"/>
      <c r="M229" s="1"/>
      <c r="N229" s="41"/>
      <c r="O229" s="1"/>
      <c r="P229" s="1"/>
      <c r="Q229" s="1"/>
      <c r="R229" s="1"/>
      <c r="S229" s="1"/>
      <c r="T229" s="1"/>
      <c r="U229" s="1"/>
    </row>
    <row r="230" spans="1:21" x14ac:dyDescent="0.5">
      <c r="A230" s="1"/>
      <c r="B230" s="1"/>
      <c r="C230" s="1"/>
      <c r="D230" s="1"/>
      <c r="E230" s="1"/>
      <c r="F230" s="1"/>
      <c r="G230" s="1"/>
      <c r="H230" s="82"/>
      <c r="I230" s="1"/>
      <c r="J230" s="63"/>
      <c r="K230" s="1"/>
      <c r="L230" s="1"/>
      <c r="M230" s="1"/>
      <c r="N230" s="41"/>
      <c r="O230" s="1"/>
      <c r="P230" s="1"/>
      <c r="Q230" s="1"/>
      <c r="R230" s="1"/>
      <c r="S230" s="1"/>
      <c r="T230" s="1"/>
      <c r="U230" s="1"/>
    </row>
    <row r="231" spans="1:21" x14ac:dyDescent="0.5">
      <c r="A231" s="1"/>
      <c r="B231" s="1"/>
      <c r="C231" s="1"/>
      <c r="D231" s="1"/>
      <c r="E231" s="1"/>
      <c r="F231" s="1"/>
      <c r="G231" s="1"/>
      <c r="H231" s="82"/>
      <c r="I231" s="1"/>
      <c r="J231" s="63"/>
      <c r="K231" s="1"/>
      <c r="L231" s="1"/>
      <c r="M231" s="1"/>
      <c r="N231" s="41"/>
      <c r="O231" s="1"/>
      <c r="P231" s="1"/>
      <c r="Q231" s="1"/>
      <c r="R231" s="1"/>
      <c r="S231" s="1"/>
      <c r="T231" s="1"/>
      <c r="U231" s="1"/>
    </row>
    <row r="232" spans="1:21" x14ac:dyDescent="0.5">
      <c r="A232" s="1"/>
      <c r="B232" s="1"/>
      <c r="C232" s="1"/>
      <c r="D232" s="1"/>
      <c r="E232" s="1"/>
      <c r="F232" s="1"/>
      <c r="G232" s="1"/>
      <c r="H232" s="82"/>
      <c r="I232" s="1"/>
      <c r="J232" s="63"/>
      <c r="K232" s="1"/>
      <c r="L232" s="1"/>
      <c r="M232" s="1"/>
      <c r="N232" s="41"/>
      <c r="O232" s="1"/>
      <c r="P232" s="1"/>
      <c r="Q232" s="1"/>
      <c r="R232" s="1"/>
      <c r="S232" s="1"/>
      <c r="T232" s="1"/>
      <c r="U232" s="1"/>
    </row>
    <row r="233" spans="1:21" x14ac:dyDescent="0.5">
      <c r="A233" s="1"/>
      <c r="B233" s="1"/>
      <c r="C233" s="1"/>
      <c r="D233" s="1"/>
      <c r="E233" s="1"/>
      <c r="F233" s="1"/>
      <c r="G233" s="1"/>
      <c r="H233" s="82"/>
      <c r="I233" s="1"/>
      <c r="J233" s="63"/>
      <c r="K233" s="1"/>
      <c r="L233" s="1"/>
      <c r="M233" s="1"/>
      <c r="N233" s="41"/>
      <c r="O233" s="1"/>
      <c r="P233" s="1"/>
      <c r="Q233" s="1"/>
      <c r="R233" s="1"/>
      <c r="S233" s="1"/>
      <c r="T233" s="1"/>
      <c r="U233" s="1"/>
    </row>
    <row r="234" spans="1:21" x14ac:dyDescent="0.5">
      <c r="A234" s="1"/>
      <c r="B234" s="1"/>
      <c r="C234" s="1"/>
      <c r="D234" s="1"/>
      <c r="E234" s="1"/>
      <c r="F234" s="1"/>
      <c r="G234" s="1"/>
      <c r="H234" s="82"/>
      <c r="I234" s="1"/>
      <c r="J234" s="63"/>
      <c r="K234" s="1"/>
      <c r="L234" s="1"/>
      <c r="M234" s="1"/>
      <c r="N234" s="41"/>
      <c r="O234" s="1"/>
      <c r="P234" s="1"/>
      <c r="Q234" s="1"/>
      <c r="R234" s="1"/>
      <c r="S234" s="1"/>
      <c r="T234" s="1"/>
      <c r="U234" s="1"/>
    </row>
    <row r="235" spans="1:21" x14ac:dyDescent="0.5">
      <c r="A235" s="1"/>
      <c r="B235" s="1"/>
      <c r="C235" s="1"/>
      <c r="D235" s="1"/>
      <c r="E235" s="1"/>
      <c r="F235" s="1"/>
      <c r="G235" s="1"/>
      <c r="H235" s="82"/>
      <c r="I235" s="1"/>
      <c r="J235" s="63"/>
      <c r="K235" s="1"/>
      <c r="L235" s="1"/>
      <c r="M235" s="1"/>
      <c r="N235" s="41"/>
      <c r="O235" s="1"/>
      <c r="P235" s="1"/>
      <c r="Q235" s="1"/>
      <c r="R235" s="1"/>
      <c r="S235" s="1"/>
      <c r="T235" s="1"/>
      <c r="U235" s="1"/>
    </row>
    <row r="236" spans="1:21" x14ac:dyDescent="0.5">
      <c r="A236" s="1"/>
      <c r="B236" s="1"/>
      <c r="C236" s="1"/>
      <c r="D236" s="1"/>
      <c r="E236" s="1"/>
      <c r="F236" s="1"/>
      <c r="G236" s="1"/>
      <c r="H236" s="82"/>
      <c r="I236" s="1"/>
      <c r="J236" s="63"/>
      <c r="K236" s="1"/>
      <c r="L236" s="1"/>
      <c r="M236" s="1"/>
      <c r="N236" s="41"/>
      <c r="O236" s="1"/>
      <c r="P236" s="1"/>
      <c r="Q236" s="1"/>
      <c r="R236" s="1"/>
      <c r="S236" s="1"/>
      <c r="T236" s="1"/>
      <c r="U236" s="1"/>
    </row>
    <row r="237" spans="1:21" x14ac:dyDescent="0.5">
      <c r="A237" s="1"/>
      <c r="B237" s="1"/>
      <c r="C237" s="1"/>
      <c r="D237" s="1"/>
      <c r="E237" s="1"/>
      <c r="F237" s="1"/>
      <c r="G237" s="1"/>
      <c r="H237" s="82"/>
      <c r="I237" s="1"/>
      <c r="J237" s="63"/>
      <c r="K237" s="1"/>
      <c r="L237" s="1"/>
      <c r="M237" s="1"/>
      <c r="N237" s="41"/>
      <c r="O237" s="1"/>
      <c r="P237" s="1"/>
      <c r="Q237" s="1"/>
      <c r="R237" s="1"/>
      <c r="S237" s="1"/>
      <c r="T237" s="1"/>
      <c r="U237" s="1"/>
    </row>
    <row r="238" spans="1:21" x14ac:dyDescent="0.5">
      <c r="A238" s="1"/>
      <c r="B238" s="1"/>
      <c r="C238" s="1"/>
      <c r="D238" s="1"/>
      <c r="E238" s="1"/>
      <c r="F238" s="1"/>
      <c r="G238" s="1"/>
      <c r="H238" s="82"/>
      <c r="I238" s="1"/>
      <c r="J238" s="63"/>
      <c r="K238" s="1"/>
      <c r="L238" s="1"/>
      <c r="M238" s="1"/>
      <c r="N238" s="41"/>
      <c r="O238" s="1"/>
      <c r="P238" s="1"/>
      <c r="Q238" s="1"/>
      <c r="R238" s="1"/>
      <c r="S238" s="1"/>
      <c r="T238" s="1"/>
      <c r="U238" s="1"/>
    </row>
    <row r="239" spans="1:21" x14ac:dyDescent="0.5">
      <c r="A239" s="1"/>
      <c r="B239" s="1"/>
      <c r="C239" s="1"/>
      <c r="D239" s="1"/>
      <c r="E239" s="1"/>
      <c r="F239" s="1"/>
      <c r="G239" s="1"/>
      <c r="H239" s="82"/>
      <c r="I239" s="1"/>
      <c r="J239" s="63"/>
      <c r="K239" s="1"/>
      <c r="L239" s="1"/>
      <c r="M239" s="1"/>
      <c r="N239" s="41"/>
      <c r="O239" s="1"/>
      <c r="P239" s="1"/>
      <c r="Q239" s="1"/>
      <c r="R239" s="1"/>
      <c r="S239" s="1"/>
      <c r="T239" s="1"/>
      <c r="U239" s="1"/>
    </row>
    <row r="240" spans="1:21" x14ac:dyDescent="0.5">
      <c r="A240" s="1"/>
      <c r="B240" s="1"/>
      <c r="C240" s="1"/>
      <c r="D240" s="1"/>
      <c r="E240" s="1"/>
      <c r="F240" s="1"/>
      <c r="G240" s="1"/>
      <c r="H240" s="82"/>
      <c r="I240" s="1"/>
      <c r="J240" s="63"/>
      <c r="K240" s="1"/>
      <c r="L240" s="1"/>
      <c r="M240" s="1"/>
      <c r="N240" s="41"/>
      <c r="O240" s="1"/>
      <c r="P240" s="1"/>
      <c r="Q240" s="1"/>
      <c r="R240" s="1"/>
      <c r="S240" s="1"/>
      <c r="T240" s="1"/>
      <c r="U240" s="1"/>
    </row>
    <row r="241" spans="1:21" x14ac:dyDescent="0.5">
      <c r="A241" s="1"/>
      <c r="B241" s="1"/>
      <c r="C241" s="1"/>
      <c r="D241" s="1"/>
      <c r="E241" s="1"/>
      <c r="F241" s="1"/>
      <c r="G241" s="1"/>
      <c r="H241" s="82"/>
      <c r="I241" s="1"/>
      <c r="J241" s="63"/>
      <c r="K241" s="1"/>
      <c r="L241" s="1"/>
      <c r="M241" s="1"/>
      <c r="N241" s="41"/>
      <c r="O241" s="1"/>
      <c r="P241" s="1"/>
      <c r="Q241" s="1"/>
      <c r="R241" s="1"/>
      <c r="S241" s="1"/>
      <c r="T241" s="1"/>
      <c r="U241" s="1"/>
    </row>
    <row r="242" spans="1:21" x14ac:dyDescent="0.5">
      <c r="A242" s="1"/>
      <c r="B242" s="1"/>
      <c r="C242" s="1"/>
      <c r="D242" s="1"/>
      <c r="E242" s="1"/>
      <c r="F242" s="1"/>
      <c r="G242" s="1"/>
      <c r="H242" s="82"/>
      <c r="I242" s="1"/>
      <c r="J242" s="63"/>
      <c r="K242" s="1"/>
      <c r="L242" s="1"/>
      <c r="M242" s="1"/>
      <c r="N242" s="41"/>
      <c r="O242" s="1"/>
      <c r="P242" s="1"/>
      <c r="Q242" s="1"/>
      <c r="R242" s="1"/>
      <c r="S242" s="1"/>
      <c r="T242" s="1"/>
      <c r="U242" s="1"/>
    </row>
    <row r="243" spans="1:21" x14ac:dyDescent="0.5">
      <c r="A243" s="1"/>
      <c r="B243" s="1"/>
      <c r="C243" s="1"/>
      <c r="D243" s="1"/>
      <c r="E243" s="1"/>
      <c r="F243" s="1"/>
      <c r="G243" s="1"/>
      <c r="H243" s="82"/>
      <c r="I243" s="1"/>
      <c r="J243" s="63"/>
      <c r="K243" s="1"/>
      <c r="L243" s="1"/>
      <c r="M243" s="1"/>
      <c r="N243" s="41"/>
      <c r="O243" s="1"/>
      <c r="P243" s="1"/>
      <c r="Q243" s="1"/>
      <c r="R243" s="1"/>
      <c r="S243" s="1"/>
      <c r="T243" s="1"/>
      <c r="U243" s="1"/>
    </row>
    <row r="244" spans="1:21" x14ac:dyDescent="0.5">
      <c r="A244" s="1"/>
      <c r="B244" s="1"/>
      <c r="C244" s="1"/>
      <c r="D244" s="1"/>
      <c r="E244" s="1"/>
      <c r="F244" s="1"/>
      <c r="G244" s="1"/>
      <c r="H244" s="82"/>
      <c r="I244" s="1"/>
      <c r="J244" s="63"/>
      <c r="K244" s="1"/>
      <c r="L244" s="1"/>
      <c r="M244" s="1"/>
      <c r="N244" s="41"/>
      <c r="O244" s="1"/>
      <c r="P244" s="1"/>
      <c r="Q244" s="1"/>
      <c r="R244" s="1"/>
      <c r="S244" s="1"/>
      <c r="T244" s="1"/>
      <c r="U244" s="1"/>
    </row>
    <row r="245" spans="1:21" x14ac:dyDescent="0.5">
      <c r="A245" s="1"/>
      <c r="B245" s="1"/>
      <c r="C245" s="1"/>
      <c r="D245" s="1"/>
      <c r="E245" s="1"/>
      <c r="F245" s="1"/>
      <c r="G245" s="1"/>
      <c r="H245" s="82"/>
      <c r="I245" s="1"/>
      <c r="J245" s="63"/>
      <c r="K245" s="1"/>
      <c r="L245" s="1"/>
      <c r="M245" s="1"/>
      <c r="N245" s="41"/>
      <c r="O245" s="1"/>
      <c r="P245" s="1"/>
      <c r="Q245" s="1"/>
      <c r="R245" s="1"/>
      <c r="S245" s="1"/>
      <c r="T245" s="1"/>
      <c r="U245" s="1"/>
    </row>
    <row r="246" spans="1:21" x14ac:dyDescent="0.5">
      <c r="A246" s="1"/>
      <c r="B246" s="1"/>
      <c r="C246" s="1"/>
      <c r="D246" s="1"/>
      <c r="E246" s="1"/>
      <c r="F246" s="1"/>
      <c r="G246" s="1"/>
      <c r="H246" s="82"/>
      <c r="I246" s="1"/>
      <c r="J246" s="63"/>
      <c r="K246" s="1"/>
      <c r="L246" s="1"/>
      <c r="M246" s="1"/>
      <c r="N246" s="41"/>
      <c r="O246" s="1"/>
      <c r="P246" s="1"/>
      <c r="Q246" s="1"/>
      <c r="R246" s="1"/>
      <c r="S246" s="1"/>
      <c r="T246" s="1"/>
      <c r="U246" s="1"/>
    </row>
    <row r="247" spans="1:21" x14ac:dyDescent="0.5">
      <c r="A247" s="1"/>
      <c r="B247" s="1"/>
      <c r="C247" s="1"/>
      <c r="D247" s="1"/>
      <c r="E247" s="1"/>
      <c r="F247" s="1"/>
      <c r="G247" s="1"/>
      <c r="H247" s="82"/>
      <c r="I247" s="1"/>
      <c r="J247" s="63"/>
      <c r="K247" s="1"/>
      <c r="L247" s="1"/>
      <c r="M247" s="1"/>
      <c r="N247" s="41"/>
      <c r="O247" s="1"/>
      <c r="P247" s="1"/>
      <c r="Q247" s="1"/>
      <c r="R247" s="1"/>
      <c r="S247" s="1"/>
      <c r="T247" s="1"/>
      <c r="U247" s="1"/>
    </row>
    <row r="248" spans="1:21" x14ac:dyDescent="0.5">
      <c r="A248" s="1"/>
      <c r="B248" s="1"/>
      <c r="C248" s="1"/>
      <c r="D248" s="1"/>
      <c r="E248" s="1"/>
      <c r="F248" s="1"/>
      <c r="G248" s="1"/>
      <c r="H248" s="82"/>
      <c r="I248" s="1"/>
      <c r="J248" s="63"/>
      <c r="K248" s="1"/>
      <c r="L248" s="1"/>
      <c r="M248" s="1"/>
      <c r="N248" s="41"/>
      <c r="O248" s="1"/>
      <c r="P248" s="1"/>
      <c r="Q248" s="1"/>
      <c r="R248" s="1"/>
      <c r="S248" s="1"/>
      <c r="T248" s="1"/>
      <c r="U248" s="1"/>
    </row>
    <row r="249" spans="1:21" x14ac:dyDescent="0.5">
      <c r="A249" s="1"/>
      <c r="B249" s="1"/>
      <c r="C249" s="1"/>
      <c r="D249" s="1"/>
      <c r="E249" s="1"/>
      <c r="F249" s="1"/>
      <c r="G249" s="1"/>
      <c r="H249" s="82"/>
      <c r="I249" s="1"/>
      <c r="J249" s="63"/>
      <c r="K249" s="1"/>
      <c r="L249" s="1"/>
      <c r="M249" s="1"/>
      <c r="N249" s="41"/>
      <c r="O249" s="1"/>
      <c r="P249" s="1"/>
      <c r="Q249" s="1"/>
      <c r="R249" s="1"/>
      <c r="S249" s="1"/>
      <c r="T249" s="1"/>
      <c r="U249" s="1"/>
    </row>
    <row r="250" spans="1:21" x14ac:dyDescent="0.5">
      <c r="A250" s="1"/>
      <c r="B250" s="1"/>
      <c r="C250" s="1"/>
      <c r="D250" s="1"/>
      <c r="E250" s="1"/>
      <c r="F250" s="1"/>
      <c r="G250" s="1"/>
      <c r="H250" s="82"/>
      <c r="I250" s="1"/>
      <c r="J250" s="63"/>
      <c r="K250" s="1"/>
      <c r="L250" s="1"/>
      <c r="M250" s="1"/>
      <c r="N250" s="41"/>
      <c r="O250" s="1"/>
      <c r="P250" s="1"/>
      <c r="Q250" s="1"/>
      <c r="R250" s="1"/>
      <c r="S250" s="1"/>
      <c r="T250" s="1"/>
      <c r="U250" s="1"/>
    </row>
    <row r="251" spans="1:21" x14ac:dyDescent="0.5">
      <c r="A251" s="1"/>
      <c r="B251" s="1"/>
      <c r="C251" s="1"/>
      <c r="D251" s="1"/>
      <c r="E251" s="1"/>
      <c r="F251" s="1"/>
      <c r="G251" s="1"/>
      <c r="H251" s="82"/>
      <c r="I251" s="1"/>
      <c r="J251" s="63"/>
      <c r="K251" s="1"/>
      <c r="L251" s="1"/>
      <c r="M251" s="1"/>
      <c r="N251" s="41"/>
      <c r="O251" s="1"/>
      <c r="P251" s="1"/>
      <c r="Q251" s="1"/>
      <c r="R251" s="1"/>
      <c r="S251" s="1"/>
      <c r="T251" s="1"/>
      <c r="U251" s="1"/>
    </row>
    <row r="252" spans="1:21" x14ac:dyDescent="0.5">
      <c r="A252" s="1"/>
      <c r="B252" s="1"/>
      <c r="C252" s="1"/>
      <c r="D252" s="1"/>
      <c r="E252" s="1"/>
      <c r="F252" s="1"/>
      <c r="G252" s="1"/>
      <c r="H252" s="82"/>
      <c r="I252" s="1"/>
      <c r="J252" s="63"/>
      <c r="K252" s="1"/>
      <c r="L252" s="1"/>
      <c r="M252" s="1"/>
      <c r="N252" s="41"/>
      <c r="O252" s="1"/>
      <c r="P252" s="1"/>
      <c r="Q252" s="1"/>
      <c r="R252" s="1"/>
      <c r="S252" s="1"/>
      <c r="T252" s="1"/>
      <c r="U252" s="1"/>
    </row>
    <row r="253" spans="1:21" x14ac:dyDescent="0.5">
      <c r="A253" s="1"/>
      <c r="B253" s="1"/>
      <c r="C253" s="1"/>
      <c r="D253" s="1"/>
      <c r="E253" s="1"/>
      <c r="F253" s="1"/>
      <c r="G253" s="1"/>
      <c r="H253" s="82"/>
      <c r="I253" s="1"/>
      <c r="J253" s="63"/>
      <c r="K253" s="1"/>
      <c r="L253" s="1"/>
      <c r="M253" s="1"/>
      <c r="N253" s="41"/>
      <c r="O253" s="1"/>
      <c r="P253" s="1"/>
      <c r="Q253" s="1"/>
      <c r="R253" s="1"/>
      <c r="S253" s="1"/>
      <c r="T253" s="1"/>
      <c r="U253" s="1"/>
    </row>
    <row r="254" spans="1:21" x14ac:dyDescent="0.5">
      <c r="A254" s="1"/>
      <c r="B254" s="1"/>
      <c r="C254" s="1"/>
      <c r="D254" s="1"/>
      <c r="E254" s="1"/>
      <c r="F254" s="1"/>
      <c r="G254" s="1"/>
      <c r="H254" s="82"/>
      <c r="I254" s="1"/>
      <c r="J254" s="63"/>
      <c r="K254" s="1"/>
      <c r="L254" s="1"/>
      <c r="M254" s="1"/>
      <c r="N254" s="41"/>
      <c r="O254" s="1"/>
      <c r="P254" s="1"/>
      <c r="Q254" s="1"/>
      <c r="R254" s="1"/>
      <c r="S254" s="1"/>
      <c r="T254" s="1"/>
      <c r="U254" s="1"/>
    </row>
    <row r="255" spans="1:21" x14ac:dyDescent="0.5">
      <c r="A255" s="1"/>
      <c r="B255" s="1"/>
      <c r="C255" s="1"/>
      <c r="D255" s="1"/>
      <c r="E255" s="1"/>
      <c r="F255" s="1"/>
      <c r="G255" s="1"/>
      <c r="H255" s="82"/>
      <c r="I255" s="1"/>
      <c r="J255" s="63"/>
      <c r="K255" s="1"/>
      <c r="L255" s="1"/>
      <c r="M255" s="1"/>
      <c r="N255" s="41"/>
      <c r="O255" s="1"/>
      <c r="P255" s="1"/>
      <c r="Q255" s="1"/>
      <c r="R255" s="1"/>
      <c r="S255" s="1"/>
      <c r="T255" s="1"/>
      <c r="U255" s="1"/>
    </row>
    <row r="256" spans="1:21" x14ac:dyDescent="0.5">
      <c r="A256" s="1"/>
      <c r="B256" s="1"/>
      <c r="C256" s="1"/>
      <c r="D256" s="1"/>
      <c r="E256" s="1"/>
      <c r="F256" s="1"/>
      <c r="G256" s="1"/>
      <c r="H256" s="82"/>
      <c r="I256" s="1"/>
      <c r="J256" s="63"/>
      <c r="K256" s="1"/>
      <c r="L256" s="1"/>
      <c r="M256" s="1"/>
      <c r="N256" s="41"/>
      <c r="O256" s="1"/>
      <c r="P256" s="1"/>
      <c r="Q256" s="1"/>
      <c r="R256" s="1"/>
      <c r="S256" s="1"/>
      <c r="T256" s="1"/>
      <c r="U256" s="1"/>
    </row>
    <row r="257" spans="1:21" x14ac:dyDescent="0.5">
      <c r="A257" s="1"/>
      <c r="B257" s="1"/>
      <c r="C257" s="1"/>
      <c r="D257" s="1"/>
      <c r="E257" s="1"/>
      <c r="F257" s="1"/>
      <c r="G257" s="1"/>
      <c r="H257" s="82"/>
      <c r="I257" s="1"/>
      <c r="J257" s="63"/>
      <c r="K257" s="1"/>
      <c r="L257" s="1"/>
      <c r="M257" s="1"/>
      <c r="N257" s="41"/>
      <c r="O257" s="1"/>
      <c r="P257" s="1"/>
      <c r="Q257" s="1"/>
      <c r="R257" s="1"/>
      <c r="S257" s="1"/>
      <c r="T257" s="1"/>
      <c r="U257" s="1"/>
    </row>
    <row r="258" spans="1:21" x14ac:dyDescent="0.5">
      <c r="A258" s="1"/>
      <c r="B258" s="1"/>
      <c r="C258" s="1"/>
      <c r="D258" s="1"/>
      <c r="E258" s="1"/>
      <c r="F258" s="1"/>
      <c r="G258" s="1"/>
      <c r="H258" s="82"/>
      <c r="I258" s="1"/>
      <c r="J258" s="63"/>
      <c r="K258" s="1"/>
      <c r="L258" s="1"/>
      <c r="M258" s="1"/>
      <c r="N258" s="41"/>
      <c r="O258" s="1"/>
      <c r="P258" s="1"/>
      <c r="Q258" s="1"/>
      <c r="R258" s="1"/>
      <c r="S258" s="1"/>
      <c r="T258" s="1"/>
      <c r="U258" s="1"/>
    </row>
    <row r="259" spans="1:21" x14ac:dyDescent="0.5">
      <c r="A259" s="1"/>
      <c r="B259" s="1"/>
      <c r="C259" s="1"/>
      <c r="D259" s="1"/>
      <c r="E259" s="1"/>
      <c r="F259" s="1"/>
      <c r="G259" s="1"/>
      <c r="H259" s="82"/>
      <c r="I259" s="1"/>
      <c r="J259" s="63"/>
      <c r="K259" s="1"/>
      <c r="L259" s="1"/>
      <c r="M259" s="1"/>
      <c r="N259" s="41"/>
      <c r="O259" s="1"/>
      <c r="P259" s="1"/>
      <c r="Q259" s="1"/>
      <c r="R259" s="1"/>
      <c r="S259" s="1"/>
      <c r="T259" s="1"/>
      <c r="U259" s="1"/>
    </row>
    <row r="260" spans="1:21" x14ac:dyDescent="0.5">
      <c r="A260" s="1"/>
      <c r="B260" s="1"/>
      <c r="C260" s="1"/>
      <c r="D260" s="1"/>
      <c r="E260" s="1"/>
      <c r="F260" s="1"/>
      <c r="G260" s="1"/>
      <c r="H260" s="82"/>
      <c r="I260" s="1"/>
      <c r="J260" s="63"/>
      <c r="K260" s="1"/>
      <c r="L260" s="1"/>
      <c r="M260" s="1"/>
      <c r="N260" s="41"/>
      <c r="O260" s="1"/>
      <c r="P260" s="1"/>
      <c r="Q260" s="1"/>
      <c r="R260" s="1"/>
      <c r="S260" s="1"/>
      <c r="T260" s="1"/>
      <c r="U260" s="1"/>
    </row>
    <row r="261" spans="1:21" x14ac:dyDescent="0.5">
      <c r="A261" s="1"/>
      <c r="B261" s="1"/>
      <c r="C261" s="1"/>
      <c r="D261" s="1"/>
      <c r="E261" s="1"/>
      <c r="F261" s="1"/>
      <c r="G261" s="1"/>
      <c r="H261" s="82"/>
      <c r="I261" s="1"/>
      <c r="J261" s="63"/>
      <c r="K261" s="1"/>
      <c r="L261" s="1"/>
      <c r="M261" s="1"/>
      <c r="N261" s="41"/>
      <c r="O261" s="1"/>
      <c r="P261" s="1"/>
      <c r="Q261" s="1"/>
      <c r="R261" s="1"/>
      <c r="S261" s="1"/>
      <c r="T261" s="1"/>
      <c r="U261" s="1"/>
    </row>
    <row r="262" spans="1:21" x14ac:dyDescent="0.5">
      <c r="A262" s="1"/>
      <c r="B262" s="1"/>
      <c r="C262" s="1"/>
      <c r="D262" s="1"/>
      <c r="E262" s="1"/>
      <c r="F262" s="1"/>
      <c r="G262" s="1"/>
      <c r="H262" s="82"/>
      <c r="I262" s="1"/>
      <c r="J262" s="63"/>
      <c r="K262" s="1"/>
      <c r="L262" s="1"/>
      <c r="M262" s="1"/>
      <c r="N262" s="41"/>
      <c r="O262" s="1"/>
      <c r="P262" s="1"/>
      <c r="Q262" s="1"/>
      <c r="R262" s="1"/>
      <c r="S262" s="1"/>
      <c r="T262" s="1"/>
      <c r="U262" s="1"/>
    </row>
    <row r="263" spans="1:21" x14ac:dyDescent="0.5">
      <c r="A263" s="1"/>
      <c r="B263" s="1"/>
      <c r="C263" s="1"/>
      <c r="D263" s="1"/>
      <c r="E263" s="1"/>
      <c r="F263" s="1"/>
      <c r="G263" s="1"/>
      <c r="H263" s="82"/>
      <c r="I263" s="1"/>
      <c r="J263" s="63"/>
      <c r="K263" s="1"/>
      <c r="L263" s="1"/>
      <c r="M263" s="1"/>
      <c r="N263" s="41"/>
      <c r="O263" s="1"/>
      <c r="P263" s="1"/>
      <c r="Q263" s="1"/>
      <c r="R263" s="1"/>
      <c r="S263" s="1"/>
      <c r="T263" s="1"/>
      <c r="U263" s="1"/>
    </row>
    <row r="264" spans="1:21" x14ac:dyDescent="0.5">
      <c r="A264" s="1"/>
      <c r="B264" s="1"/>
      <c r="C264" s="1"/>
      <c r="D264" s="1"/>
      <c r="E264" s="1"/>
      <c r="F264" s="1"/>
      <c r="G264" s="1"/>
      <c r="H264" s="82"/>
      <c r="I264" s="1"/>
      <c r="J264" s="63"/>
      <c r="K264" s="1"/>
      <c r="L264" s="1"/>
      <c r="M264" s="1"/>
      <c r="N264" s="41"/>
      <c r="O264" s="1"/>
      <c r="P264" s="1"/>
      <c r="Q264" s="1"/>
      <c r="R264" s="1"/>
      <c r="S264" s="1"/>
      <c r="T264" s="1"/>
      <c r="U264" s="1"/>
    </row>
  </sheetData>
  <mergeCells count="102">
    <mergeCell ref="W7:W8"/>
    <mergeCell ref="X7:X8"/>
    <mergeCell ref="Y7:Y8"/>
    <mergeCell ref="S7:S8"/>
    <mergeCell ref="R7:R8"/>
    <mergeCell ref="N7:Q7"/>
    <mergeCell ref="C9:V9"/>
    <mergeCell ref="U7:U8"/>
    <mergeCell ref="V7:V8"/>
    <mergeCell ref="T7:T8"/>
    <mergeCell ref="G7:G8"/>
    <mergeCell ref="H7:H8"/>
    <mergeCell ref="L7:L8"/>
    <mergeCell ref="M7:M8"/>
    <mergeCell ref="J7:K7"/>
    <mergeCell ref="C7:C8"/>
    <mergeCell ref="E7:E8"/>
    <mergeCell ref="F7:F8"/>
    <mergeCell ref="D7:D8"/>
    <mergeCell ref="I7:I8"/>
    <mergeCell ref="AJ7:AJ8"/>
    <mergeCell ref="AK7:AK8"/>
    <mergeCell ref="AL7:AL8"/>
    <mergeCell ref="AE7:AE8"/>
    <mergeCell ref="AF7:AF8"/>
    <mergeCell ref="AG7:AG8"/>
    <mergeCell ref="AH7:AH8"/>
    <mergeCell ref="AI7:AI8"/>
    <mergeCell ref="Z7:Z8"/>
    <mergeCell ref="AA7:AA8"/>
    <mergeCell ref="AB7:AB8"/>
    <mergeCell ref="AC7:AC8"/>
    <mergeCell ref="AD7:AD8"/>
    <mergeCell ref="A73:I74"/>
    <mergeCell ref="L76:O76"/>
    <mergeCell ref="B22:B32"/>
    <mergeCell ref="A22:A32"/>
    <mergeCell ref="C31:C32"/>
    <mergeCell ref="A71:V72"/>
    <mergeCell ref="D33:D35"/>
    <mergeCell ref="C50:C51"/>
    <mergeCell ref="A49:A51"/>
    <mergeCell ref="B49:B51"/>
    <mergeCell ref="A41:A42"/>
    <mergeCell ref="B41:B42"/>
    <mergeCell ref="A33:A40"/>
    <mergeCell ref="A47:A48"/>
    <mergeCell ref="J73:V74"/>
    <mergeCell ref="C41:C42"/>
    <mergeCell ref="C47:C48"/>
    <mergeCell ref="C39:C40"/>
    <mergeCell ref="F59:F60"/>
    <mergeCell ref="F61:F62"/>
    <mergeCell ref="C33:C35"/>
    <mergeCell ref="C45:C46"/>
    <mergeCell ref="C53:C54"/>
    <mergeCell ref="D61:D62"/>
    <mergeCell ref="E61:E62"/>
    <mergeCell ref="B67:B68"/>
    <mergeCell ref="B59:B62"/>
    <mergeCell ref="C59:C60"/>
    <mergeCell ref="D59:D60"/>
    <mergeCell ref="B33:B40"/>
    <mergeCell ref="A7:A8"/>
    <mergeCell ref="A64:A65"/>
    <mergeCell ref="B64:B65"/>
    <mergeCell ref="A43:A46"/>
    <mergeCell ref="B43:B46"/>
    <mergeCell ref="A10:A11"/>
    <mergeCell ref="A13:A21"/>
    <mergeCell ref="B13:B21"/>
    <mergeCell ref="B10:B11"/>
    <mergeCell ref="B7:B8"/>
    <mergeCell ref="A59:A62"/>
    <mergeCell ref="A53:A58"/>
    <mergeCell ref="B53:B58"/>
    <mergeCell ref="B47:B48"/>
    <mergeCell ref="C20:C21"/>
    <mergeCell ref="P76:V76"/>
    <mergeCell ref="W1:AL5"/>
    <mergeCell ref="W6:AL6"/>
    <mergeCell ref="Q5:V5"/>
    <mergeCell ref="Q6:V6"/>
    <mergeCell ref="Q2:V2"/>
    <mergeCell ref="Q3:V3"/>
    <mergeCell ref="Q4:V4"/>
    <mergeCell ref="A5:E5"/>
    <mergeCell ref="F5:K5"/>
    <mergeCell ref="L5:P6"/>
    <mergeCell ref="A6:E6"/>
    <mergeCell ref="F6:K6"/>
    <mergeCell ref="A1:D3"/>
    <mergeCell ref="E1:P2"/>
    <mergeCell ref="Q1:V1"/>
    <mergeCell ref="E3:P3"/>
    <mergeCell ref="A4:E4"/>
    <mergeCell ref="F4:I4"/>
    <mergeCell ref="J4:K4"/>
    <mergeCell ref="L4:P4"/>
    <mergeCell ref="A67:A68"/>
    <mergeCell ref="E59:E60"/>
    <mergeCell ref="C61:C62"/>
  </mergeCells>
  <phoneticPr fontId="22" type="noConversion"/>
  <conditionalFormatting sqref="M9:M163">
    <cfRule type="cellIs" dxfId="1" priority="7" operator="greaterThanOrEqual">
      <formula>$AQ$2</formula>
    </cfRule>
  </conditionalFormatting>
  <printOptions horizontalCentered="1"/>
  <pageMargins left="0.38" right="0.39" top="0.38" bottom="0.5" header="0.33" footer="0.3"/>
  <pageSetup paperSize="9" scale="55"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rightToLeft="1" topLeftCell="A5" zoomScale="115" zoomScaleNormal="115" workbookViewId="0">
      <selection activeCell="C7" sqref="C7"/>
    </sheetView>
  </sheetViews>
  <sheetFormatPr defaultRowHeight="15" x14ac:dyDescent="0.25"/>
  <cols>
    <col min="2" max="2" width="16" customWidth="1"/>
    <col min="3" max="3" width="96.42578125" bestFit="1" customWidth="1"/>
  </cols>
  <sheetData>
    <row r="1" spans="1:3" ht="15.75" x14ac:dyDescent="0.25">
      <c r="A1" s="9" t="s">
        <v>41</v>
      </c>
      <c r="B1" s="9" t="s">
        <v>42</v>
      </c>
      <c r="C1" s="9" t="s">
        <v>43</v>
      </c>
    </row>
    <row r="2" spans="1:3" ht="20.25" x14ac:dyDescent="0.25">
      <c r="A2" s="17">
        <v>0</v>
      </c>
      <c r="B2" s="8" t="s">
        <v>175</v>
      </c>
      <c r="C2" s="18" t="s">
        <v>44</v>
      </c>
    </row>
    <row r="3" spans="1:3" ht="303" customHeight="1" x14ac:dyDescent="0.25">
      <c r="A3" s="273">
        <v>1</v>
      </c>
      <c r="B3" s="270" t="s">
        <v>288</v>
      </c>
      <c r="C3" s="89" t="s">
        <v>310</v>
      </c>
    </row>
    <row r="4" spans="1:3" ht="282" customHeight="1" x14ac:dyDescent="0.25">
      <c r="A4" s="274"/>
      <c r="B4" s="271"/>
      <c r="C4" s="89" t="s">
        <v>311</v>
      </c>
    </row>
    <row r="5" spans="1:3" ht="157.5" customHeight="1" x14ac:dyDescent="0.25">
      <c r="A5" s="275"/>
      <c r="B5" s="272"/>
      <c r="C5" s="89" t="s">
        <v>312</v>
      </c>
    </row>
    <row r="6" spans="1:3" ht="102" customHeight="1" x14ac:dyDescent="0.25">
      <c r="A6" s="17">
        <v>2</v>
      </c>
      <c r="B6" s="8" t="s">
        <v>332</v>
      </c>
      <c r="C6" s="153" t="s">
        <v>331</v>
      </c>
    </row>
    <row r="7" spans="1:3" ht="45" customHeight="1" x14ac:dyDescent="0.25">
      <c r="A7" s="17">
        <v>3</v>
      </c>
      <c r="B7" s="8" t="s">
        <v>350</v>
      </c>
      <c r="C7" s="153" t="s">
        <v>354</v>
      </c>
    </row>
    <row r="8" spans="1:3" ht="20.25" x14ac:dyDescent="0.25">
      <c r="A8" s="17"/>
      <c r="B8" s="8"/>
      <c r="C8" s="19"/>
    </row>
    <row r="9" spans="1:3" ht="20.25" x14ac:dyDescent="0.25">
      <c r="A9" s="17"/>
      <c r="B9" s="8"/>
      <c r="C9" s="20"/>
    </row>
    <row r="10" spans="1:3" ht="20.25" x14ac:dyDescent="0.25">
      <c r="A10" s="17"/>
      <c r="B10" s="8"/>
      <c r="C10" s="21"/>
    </row>
    <row r="11" spans="1:3" ht="20.25" x14ac:dyDescent="0.25">
      <c r="A11" s="17"/>
      <c r="B11" s="8"/>
      <c r="C11" s="27"/>
    </row>
    <row r="12" spans="1:3" ht="24.75" customHeight="1" x14ac:dyDescent="0.25">
      <c r="A12" s="44"/>
      <c r="B12" s="8"/>
      <c r="C12" s="27"/>
    </row>
    <row r="13" spans="1:3" ht="20.25" x14ac:dyDescent="0.25">
      <c r="A13" s="8"/>
      <c r="B13" s="8"/>
      <c r="C13" s="32"/>
    </row>
    <row r="14" spans="1:3" ht="20.25" x14ac:dyDescent="0.25">
      <c r="A14" s="8"/>
      <c r="B14" s="8"/>
      <c r="C14" s="8"/>
    </row>
    <row r="15" spans="1:3" ht="20.25" x14ac:dyDescent="0.25">
      <c r="A15" s="8"/>
      <c r="B15" s="8"/>
      <c r="C15" s="8"/>
    </row>
    <row r="16" spans="1:3" ht="20.25" x14ac:dyDescent="0.25">
      <c r="A16" s="8"/>
      <c r="B16" s="8"/>
      <c r="C16" s="8"/>
    </row>
  </sheetData>
  <mergeCells count="2">
    <mergeCell ref="B3:B5"/>
    <mergeCell ref="A3:A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PFMEA</vt:lpstr>
      <vt:lpstr>History  </vt:lpstr>
      <vt:lpstr>PFMEA!Print_Area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tavakoli</dc:creator>
  <cp:lastModifiedBy>Hamed Sargoli</cp:lastModifiedBy>
  <cp:lastPrinted>2014-07-09T07:47:53Z</cp:lastPrinted>
  <dcterms:created xsi:type="dcterms:W3CDTF">2014-05-06T07:14:08Z</dcterms:created>
  <dcterms:modified xsi:type="dcterms:W3CDTF">2026-08-25T06:45:46Z</dcterms:modified>
</cp:coreProperties>
</file>